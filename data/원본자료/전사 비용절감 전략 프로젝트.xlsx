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" sheetId="1" r:id="rId4"/>
    <sheet state="visible" name="지급수수료" sheetId="2" r:id="rId5"/>
    <sheet state="visible" name="외주비" sheetId="3" r:id="rId6"/>
    <sheet state="visible" name="광고선전비" sheetId="4" r:id="rId7"/>
    <sheet state="visible" name="비용통합" sheetId="5" r:id="rId8"/>
  </sheets>
  <definedNames>
    <definedName hidden="1" localSheetId="4" name="_xlnm._FilterDatabase">'비용통합'!$B$1:$Y$130</definedName>
  </definedNames>
  <calcPr/>
  <extLst>
    <ext uri="GoogleSheetsCustomDataVersion2">
      <go:sheetsCustomData xmlns:go="http://customooxmlschemas.google.com/" r:id="rId9" roundtripDataChecksum="XOqnfC6zO4qux6ZuUzU3G9MqB3OvzlBhOoye1sT14tA="/>
    </ext>
  </extLst>
</workbook>
</file>

<file path=xl/sharedStrings.xml><?xml version="1.0" encoding="utf-8"?>
<sst xmlns="http://schemas.openxmlformats.org/spreadsheetml/2006/main" count="1219" uniqueCount="318">
  <si>
    <t>예측</t>
  </si>
  <si>
    <t>전략수립</t>
  </si>
  <si>
    <t>실행 1M</t>
  </si>
  <si>
    <t>실행 2M</t>
  </si>
  <si>
    <t>실행 3M</t>
  </si>
  <si>
    <t>실행 4M</t>
  </si>
  <si>
    <t>실행 5M</t>
  </si>
  <si>
    <t>실행 6M</t>
  </si>
  <si>
    <t>판매비와 관리비 세부 항목</t>
  </si>
  <si>
    <t>1월</t>
  </si>
  <si>
    <t>2월</t>
  </si>
  <si>
    <t>3월</t>
  </si>
  <si>
    <t>4월</t>
  </si>
  <si>
    <t>6월(E)</t>
  </si>
  <si>
    <t>7월(E)</t>
  </si>
  <si>
    <t>8월</t>
  </si>
  <si>
    <t>9월</t>
  </si>
  <si>
    <t>10월</t>
  </si>
  <si>
    <t>11월</t>
  </si>
  <si>
    <t>12월</t>
  </si>
  <si>
    <t>평균</t>
  </si>
  <si>
    <t>합계</t>
  </si>
  <si>
    <t>비중</t>
  </si>
  <si>
    <t>Raw Data</t>
  </si>
  <si>
    <t>전체</t>
  </si>
  <si>
    <t>-</t>
  </si>
  <si>
    <t>https://malgn-my.sharepoint.com/:x:/g/personal/hs_m_malgn_onmicrosoft_com/IQCZHk0IVMzcQ7M5E3NO4EoCARWbUmxSzCxcfdK-66f5sKw?rtime=ius48yW23kg</t>
  </si>
  <si>
    <t>지급수수료</t>
  </si>
  <si>
    <t>광고선전비</t>
  </si>
  <si>
    <t>손익계산서</t>
  </si>
  <si>
    <t>외주비</t>
  </si>
  <si>
    <t>https://malgn-my.sharepoint.com/:x:/g/personal/hs_m_malgn_onmicrosoft_com/IQA_sBbfDjd8SYUAklq37jcVAeuIEQJeeL7Ef2l0MgSN9WA?rtime=NQkFbkm23kg</t>
  </si>
  <si>
    <t>소계</t>
  </si>
  <si>
    <t>1~4월 평균이하로 떨어짐</t>
  </si>
  <si>
    <t>회사 예측</t>
  </si>
  <si>
    <t>건물관리비</t>
  </si>
  <si>
    <t>구분</t>
  </si>
  <si>
    <t>내용</t>
  </si>
  <si>
    <t>거래처</t>
  </si>
  <si>
    <t>부서</t>
  </si>
  <si>
    <t>날짜</t>
  </si>
  <si>
    <t>5월</t>
  </si>
  <si>
    <t>6월</t>
  </si>
  <si>
    <t>7월</t>
  </si>
  <si>
    <t>카드수수료</t>
  </si>
  <si>
    <t>스탠드형 직수얼음정수기 1</t>
  </si>
  <si>
    <t>SK매직(주)</t>
  </si>
  <si>
    <t>12월 영업 대행 수수료 1 X 111,000</t>
  </si>
  <si>
    <t>주식회사 엔트위즈미디어</t>
  </si>
  <si>
    <t xml:space="preserve">민원발급수수료 </t>
  </si>
  <si>
    <t>법원행정처</t>
  </si>
  <si>
    <t>민원발급수수료</t>
  </si>
  <si>
    <t>（주) 엘지씨엔에스</t>
  </si>
  <si>
    <t>서류발급</t>
  </si>
  <si>
    <t>엔에이치엔케이씨피주식회사</t>
  </si>
  <si>
    <t>수수료</t>
  </si>
  <si>
    <t>킨코스코리아(주)</t>
  </si>
  <si>
    <t>텔레캅서비스</t>
  </si>
  <si>
    <t>케이티텔레캅(주)</t>
  </si>
  <si>
    <t>프린터 기본 임대료</t>
  </si>
  <si>
    <t>마이컴센터</t>
  </si>
  <si>
    <t>2026년 1월 임대 D320</t>
  </si>
  <si>
    <t>신도H렌탈</t>
  </si>
  <si>
    <t>원티드스페이스 월간 이용료</t>
  </si>
  <si>
    <t>나이스정보통신(주)</t>
  </si>
  <si>
    <t>주차권구매</t>
  </si>
  <si>
    <t>대륭포스트타워1차입주자대표운영위원회</t>
  </si>
  <si>
    <t>Adobe-회사계정 월간 구독료</t>
  </si>
  <si>
    <t>주식회사 코스트제로컨설팅</t>
  </si>
  <si>
    <t>주식회사헥토파이낸셜</t>
  </si>
  <si>
    <t>한국정보통신(주)</t>
  </si>
  <si>
    <t>04월 경비청구 - 김상철</t>
  </si>
  <si>
    <t>부스터 패키지 - 가상계좌 1 X 522,327</t>
  </si>
  <si>
    <t>㈜사람인에이치알</t>
  </si>
  <si>
    <t>렌탈료 1</t>
  </si>
  <si>
    <t>청호나이스(주)</t>
  </si>
  <si>
    <t>서류 출력</t>
  </si>
  <si>
    <t>스픽 구독</t>
  </si>
  <si>
    <t>월구독</t>
  </si>
  <si>
    <t>쿠팡페이 주식회사</t>
  </si>
  <si>
    <t>쿠팡월정액 - 쿠팡월정액</t>
  </si>
  <si>
    <t>SMS100***16484</t>
  </si>
  <si>
    <t>신한 100-027-164841</t>
  </si>
  <si>
    <t>SMS수수료</t>
  </si>
  <si>
    <t>우리 1005-002-038032</t>
  </si>
  <si>
    <t>도메인 등록</t>
  </si>
  <si>
    <t>메가존㈜</t>
  </si>
  <si>
    <t>MALGN.ONHIWORKS.COM 연장(하이웍스) 1 X 456,000</t>
  </si>
  <si>
    <t>(주) 가비아</t>
  </si>
  <si>
    <t>식물관리 외 1</t>
  </si>
  <si>
    <t>플라워리치</t>
  </si>
  <si>
    <t>1월 기장료</t>
  </si>
  <si>
    <t>박앤장세무회계사무소</t>
  </si>
  <si>
    <t>2025 세무조정</t>
  </si>
  <si>
    <t>Atlassian Jira(Cloud,S)</t>
  </si>
  <si>
    <t>주식회사 오픈소스컨설팅</t>
  </si>
  <si>
    <t>Google Workspace Business Standard 연간 요금제 이용료 52</t>
  </si>
  <si>
    <t>주식회사 소프트웨어인라이프</t>
  </si>
  <si>
    <t>정기청소 1 X 660,000</t>
  </si>
  <si>
    <t>탑 크린 월드 구로</t>
  </si>
  <si>
    <t>월배치CMS수수료-malgnlms</t>
  </si>
  <si>
    <t>효성에프엠에스(주)</t>
  </si>
  <si>
    <t>월월사용료-malgnlms</t>
  </si>
  <si>
    <t>가상계좌 수수료대</t>
  </si>
  <si>
    <t>(주)케이지모빌리언스</t>
  </si>
  <si>
    <t>전자지불수수료(bill_wecanglr7 2026/01)</t>
  </si>
  <si>
    <t>토스페이먼츠 주식회사</t>
  </si>
  <si>
    <t>전자지불수수료(MGN_snukorxi11 2026/02)</t>
  </si>
  <si>
    <t>우리은행 경리나라 2026.01월분 월정료외 1 X 66,000</t>
  </si>
  <si>
    <t>웹케시(주)</t>
  </si>
  <si>
    <t>본인확인(갱신분) 1 X 1,000,000</t>
  </si>
  <si>
    <t>NICE평가정보(주)</t>
  </si>
  <si>
    <t>휴대폰본인확인</t>
  </si>
  <si>
    <t>코리아크레딧뷰로(주)</t>
  </si>
  <si>
    <t>모두싸인 추가 수수료</t>
  </si>
  <si>
    <t>채널톡 연간구독</t>
  </si>
  <si>
    <t>직접생산확인증명서</t>
  </si>
  <si>
    <t>（주）더존비즈온</t>
  </si>
  <si>
    <t>더존 월 요금 - 더존 월 요금</t>
  </si>
  <si>
    <t>플랜카드 미리디</t>
  </si>
  <si>
    <t>우아한형제들</t>
  </si>
  <si>
    <t>신용평가서비스</t>
  </si>
  <si>
    <t>(주)나이스디앤비</t>
  </si>
  <si>
    <t>회계감사 1 X 6,000,000</t>
  </si>
  <si>
    <t>한울회계법인</t>
  </si>
  <si>
    <t>Windows GGWA - Windows 11 Pro 1</t>
  </si>
  <si>
    <t>(주) 비아웹</t>
  </si>
  <si>
    <t>PLANETSCALE - PLANETSCALE</t>
  </si>
  <si>
    <t>PLANETSCALE INC. +140</t>
  </si>
  <si>
    <t>스타플레이어이용료_2건 1</t>
  </si>
  <si>
    <t>(주)액시스소프트</t>
  </si>
  <si>
    <t>ANTHROPIC 지급수수료 - ANTHROPIC 지급수수료</t>
  </si>
  <si>
    <t>ANTHROPIC +141</t>
  </si>
  <si>
    <t>나라빌 계산서 발급 충전 요금 - 나라빌 계산서 발급 충전 요금</t>
  </si>
  <si>
    <t>(사)금융결제원</t>
  </si>
  <si>
    <t>구독료 - 코파일럿 6개월분</t>
  </si>
  <si>
    <t>KCP-결제</t>
  </si>
  <si>
    <t>AI_클로드코드 결제 - SaaS구독료_AI 이용</t>
  </si>
  <si>
    <t>CLAUDE.AI SUBSCRIPTION</t>
  </si>
  <si>
    <t>AI_커서 결제 - SaaS구독료_AI 이용</t>
  </si>
  <si>
    <t>CURSOR, AI POWERED IDE</t>
  </si>
  <si>
    <t>Claude.ai 구독 - AI 업무 활용</t>
  </si>
  <si>
    <t>GENSPARK.AI 사용료 - GENSPARK.AI 사용료</t>
  </si>
  <si>
    <t>GENSPARK.AI +658</t>
  </si>
  <si>
    <t>클로드 AI 사용 - 업무도구(개발 및 지원 AI)</t>
  </si>
  <si>
    <t>openai chatgpt</t>
  </si>
  <si>
    <t>AI CURSOR 비용 결 - 바이브코딩용 AI Agent 사용</t>
  </si>
  <si>
    <t>CLAUDE - CLAUDE</t>
  </si>
  <si>
    <t>OPENAI *CHATGPT - OPENAI *CHATGPT</t>
  </si>
  <si>
    <t>OPENAI *CHATGPT SUBSCR +141</t>
  </si>
  <si>
    <t>CLAUDE.AI 사용료 - CLAUDE.AI 사용료</t>
  </si>
  <si>
    <t>CLAUDE.AI SUBSCRIPTION +141</t>
  </si>
  <si>
    <t>AI 구독 - 팀 업무 AI 활용</t>
  </si>
  <si>
    <t>OTP수수료</t>
  </si>
  <si>
    <t>CLOUDFLARE - CLOUDFLARE</t>
  </si>
  <si>
    <t>CLOUDFLARE</t>
  </si>
  <si>
    <t>CLOUDFLARE 사용료 - CLOUDFLARE 사용료</t>
  </si>
  <si>
    <t>CLOUDFLARE +188</t>
  </si>
  <si>
    <t>웹방화벽 월 이용료 - 웹서비스 제공</t>
  </si>
  <si>
    <t>나이스 통신 판매 - 나이스 통신 판매</t>
  </si>
  <si>
    <t>NICE_통신판매</t>
  </si>
  <si>
    <r>
      <rPr>
        <rFont val="&quot;맑은 고딕&quot;, monospace"/>
        <color rgb="FF000000"/>
        <u/>
      </rPr>
      <t>GENSPARK.AI</t>
    </r>
    <r>
      <rPr>
        <rFont val="&quot;맑은 고딕&quot;, monospace"/>
        <color rgb="FF1F1F1F"/>
      </rPr>
      <t xml:space="preserve"> 외</t>
    </r>
  </si>
  <si>
    <t>업무 프로그램 구매 - 한글과 컴퓨터 업무 프로그램 구매_팀계정</t>
  </si>
  <si>
    <t>휴대폰메세지(승인안내) - 우리카드 3763_휴대폰메시지(승인안내)-03월분</t>
  </si>
  <si>
    <t>후불하이패스3건</t>
  </si>
  <si>
    <t>젠데스크 이용 - 혼합 고객센터 결제</t>
  </si>
  <si>
    <t>ZENDESK.COM - IRE</t>
  </si>
  <si>
    <t>연회비</t>
  </si>
  <si>
    <t>서울비즈업</t>
  </si>
  <si>
    <t>PRO SHOP POS - PRO SHOP POS</t>
  </si>
  <si>
    <t>PRO SHOP POS06553 ALMA</t>
  </si>
  <si>
    <t>안심정산플랜이용료(2026/04)</t>
  </si>
  <si>
    <t>서버호스팅 (2026.01.01~2026.01.31) 1</t>
  </si>
  <si>
    <t>환급</t>
  </si>
  <si>
    <t>대원제약 영업대행 수수료</t>
  </si>
  <si>
    <t>㈜키메디</t>
  </si>
  <si>
    <t>위캔디오</t>
  </si>
  <si>
    <t>한샘 영업 대행 수수료 12월 1</t>
  </si>
  <si>
    <t>주식회사 오브이엑스(OVX CO.,LTD.)</t>
  </si>
  <si>
    <t>동양생명 LMS 유지보수</t>
  </si>
  <si>
    <t>(주)맑은에스</t>
  </si>
  <si>
    <t>범용</t>
  </si>
  <si>
    <t>Managed Service외0건</t>
  </si>
  <si>
    <t>(주)씨디네트웍스</t>
  </si>
  <si>
    <t>Rack 외 2 건외0건</t>
  </si>
  <si>
    <t>Media Acceleration - VoD 외 1 건외0건</t>
  </si>
  <si>
    <t>기간 연장</t>
  </si>
  <si>
    <t>전사</t>
  </si>
  <si>
    <t>필더필 오아라이브 유지보수</t>
  </si>
  <si>
    <t>주식회사 그레이포인트</t>
  </si>
  <si>
    <t>공공LMS 위탁 운영대행 12월분 1 X 3,500,000</t>
  </si>
  <si>
    <t>주식회사 온케어</t>
  </si>
  <si>
    <t>공공</t>
  </si>
  <si>
    <t>AWS 사용료_시냅스엠 1</t>
  </si>
  <si>
    <t>스마일샤크 주식회사</t>
  </si>
  <si>
    <t>AWS 사용료 1</t>
  </si>
  <si>
    <t>한국어 러시아어 자막_초급/중급_완료</t>
  </si>
  <si>
    <t>(주)글로벌키타(Global Kita)</t>
  </si>
  <si>
    <t>NHN_Cloud_이용요금</t>
  </si>
  <si>
    <t>엔에이치엔클라우드 주식회사</t>
  </si>
  <si>
    <t>맑은소프트 Naver Cloud Service 36개월 이용계약_2025 1 X 8,976,870</t>
  </si>
  <si>
    <t>씨제이올리브네트웍스 주식회사</t>
  </si>
  <si>
    <t>맑은소프트 ONS CDN 서비스 1월(12월 사용분) 1 X 3,000,000</t>
  </si>
  <si>
    <t>호스팅 월이용료</t>
  </si>
  <si>
    <t>주식회사애드포시스</t>
  </si>
  <si>
    <t>제주관광공사 2025년 1월 운영비</t>
  </si>
  <si>
    <t>서울대 부모교육 (정율사관학원외 2개학원)</t>
  </si>
  <si>
    <t>주식회사 에듀콘</t>
  </si>
  <si>
    <t>기타</t>
  </si>
  <si>
    <t>맑은소프트 교육 플랫폼 개발 비용 1월 1 X 16,666,000</t>
  </si>
  <si>
    <t>주식회사 유빅소프트</t>
  </si>
  <si>
    <t>맑은소프트LMS 영문 사용자 인터페이스 개발용역(잔금)</t>
  </si>
  <si>
    <t>유빅소프트</t>
  </si>
  <si>
    <t>월 유지보수</t>
  </si>
  <si>
    <t>플로즈</t>
  </si>
  <si>
    <t>FULL RACK 1</t>
  </si>
  <si>
    <t>CDN 서비스 이용료</t>
  </si>
  <si>
    <t>(주)다날인프라랩</t>
  </si>
  <si>
    <t>화상솔루션 사용료</t>
  </si>
  <si>
    <t>(주)새하컴즈</t>
  </si>
  <si>
    <t>수수료 1 X 1,256,416</t>
  </si>
  <si>
    <t>씨에스쉐어링 주식회사</t>
  </si>
  <si>
    <t>배송정보 추적 이용료 1 X 500,000</t>
  </si>
  <si>
    <t>주식회사 블룸에이아이</t>
  </si>
  <si>
    <t>CDN 서비스 - 2026년 01월 서비스 이용분</t>
  </si>
  <si>
    <t>주식회사 스피디</t>
  </si>
  <si>
    <t>이용료 맑은소프트 KLS 리셀링</t>
  </si>
  <si>
    <t>카테노이드 주식회사</t>
  </si>
  <si>
    <t>맑은이러닝서비스기술지원</t>
  </si>
  <si>
    <t>한스앤잔인터내셔널주식회사</t>
  </si>
  <si>
    <t>맑은소프트하이브리드앱유지보수(11,12,1월)</t>
  </si>
  <si>
    <t>주식회사 옐로우윈</t>
  </si>
  <si>
    <t>한국능률협회 운영대행 서비스 1 X 960,000</t>
  </si>
  <si>
    <t>맑은소프트 ONS CDN 서비스 2월(1월 사용분) 1 X 3,000,000</t>
  </si>
  <si>
    <t>ssl 인증서구매(김서연팀장)</t>
  </si>
  <si>
    <t>비트시럽</t>
  </si>
  <si>
    <t>서울대한국어플러스 라이선스 정산수수료(12월 및 26년 1분기)</t>
  </si>
  <si>
    <t>3월 영업 대행 수수료 1 X 109,500</t>
  </si>
  <si>
    <t>MIRICANVAS</t>
  </si>
  <si>
    <t>(주)미리디</t>
  </si>
  <si>
    <t>뉴스레터 발송</t>
  </si>
  <si>
    <t>뉴스레터 이벤트 당첨자 경품</t>
  </si>
  <si>
    <t>고객만족도조사 참여자 경품</t>
  </si>
  <si>
    <t>매체광고(언론보도) 1 X 80,000</t>
  </si>
  <si>
    <t>주식회사 로애드</t>
  </si>
  <si>
    <t>카탈로그 디자인 + 인쇄</t>
  </si>
  <si>
    <t>주식회사 브이에스엔씨(VSNC Co.,Ltd)</t>
  </si>
  <si>
    <t>블로그 운영 대행</t>
  </si>
  <si>
    <t>호스팅 1 X 150,000</t>
  </si>
  <si>
    <t>엔디소프트(주)</t>
  </si>
  <si>
    <t>현수막</t>
  </si>
  <si>
    <t>토리디자인</t>
  </si>
  <si>
    <t>구글광고</t>
  </si>
  <si>
    <t>구글코리아 유한회사</t>
  </si>
  <si>
    <t>네이버 광고</t>
  </si>
  <si>
    <t>네이버 주식회사</t>
  </si>
  <si>
    <t xml:space="preserve">사업소득 </t>
  </si>
  <si>
    <t>사업소득</t>
  </si>
  <si>
    <t>인형탈 백팩 구매</t>
  </si>
  <si>
    <t>네이버파이낸셜주식회사</t>
  </si>
  <si>
    <t>물티슈제작 4,000 X 220</t>
  </si>
  <si>
    <t>항목</t>
  </si>
  <si>
    <t>비용성격</t>
  </si>
  <si>
    <t>분류</t>
  </si>
  <si>
    <t>절감가능여부</t>
  </si>
  <si>
    <t>절감 우선순위</t>
  </si>
  <si>
    <t>절감시기</t>
  </si>
  <si>
    <r>
      <rPr>
        <rFont val="Calibri"/>
        <color rgb="FFFFFFFF"/>
      </rPr>
      <t>5월(E)-</t>
    </r>
    <r>
      <rPr>
        <rFont val="Calibri"/>
        <color rgb="FFFFFFFF"/>
        <sz val="8.0"/>
      </rPr>
      <t>절감X</t>
    </r>
  </si>
  <si>
    <t>변동</t>
  </si>
  <si>
    <t>X</t>
  </si>
  <si>
    <t>고정</t>
  </si>
  <si>
    <t>사무실</t>
  </si>
  <si>
    <t>준변동</t>
  </si>
  <si>
    <t>서류</t>
  </si>
  <si>
    <t>일시</t>
  </si>
  <si>
    <t>준고정</t>
  </si>
  <si>
    <t>사무솔루션</t>
  </si>
  <si>
    <t>판단필요</t>
  </si>
  <si>
    <t>일시(일회)</t>
  </si>
  <si>
    <t>세모</t>
  </si>
  <si>
    <t>O</t>
  </si>
  <si>
    <t>일시(년납)</t>
  </si>
  <si>
    <t>계정 줄임(영업, 임원)</t>
  </si>
  <si>
    <t>월사용료-malgnlms</t>
  </si>
  <si>
    <t>?</t>
  </si>
  <si>
    <t>1년계약건으로 체크 필요</t>
  </si>
  <si>
    <t>일시(년간)</t>
  </si>
  <si>
    <t>일시(6개월납)</t>
  </si>
  <si>
    <t>AI</t>
  </si>
  <si>
    <r>
      <rPr>
        <rFont val="&quot;맑은 고딕&quot;, monospace"/>
        <color rgb="FF000000"/>
        <u/>
      </rPr>
      <t>GENSPARK.AI</t>
    </r>
    <r>
      <rPr>
        <rFont val="&quot;맑은 고딕&quot;, monospace"/>
        <color rgb="FF1F1F1F"/>
      </rPr>
      <t xml:space="preserve"> 외</t>
    </r>
  </si>
  <si>
    <t>마케팅</t>
  </si>
  <si>
    <t>인프라(IDC)</t>
  </si>
  <si>
    <t>영업대행 수수료</t>
  </si>
  <si>
    <t>운영유지보수비</t>
  </si>
  <si>
    <t>도메인,인증</t>
  </si>
  <si>
    <t>운영대행 외주</t>
  </si>
  <si>
    <t>인프라(AWS)</t>
  </si>
  <si>
    <t>번역외주</t>
  </si>
  <si>
    <t>인프라(NHN)</t>
  </si>
  <si>
    <t>인프라(ONS)</t>
  </si>
  <si>
    <t>굿어스데이타</t>
  </si>
  <si>
    <t>제주관광공사 2025년 운영비</t>
  </si>
  <si>
    <t>콘텐츠</t>
  </si>
  <si>
    <t>개발 외주</t>
  </si>
  <si>
    <t>디자인 외주</t>
  </si>
  <si>
    <t>인프라(Dan)</t>
  </si>
  <si>
    <t>솔루션 제휴</t>
  </si>
  <si>
    <t xml:space="preserve">절감 ? </t>
  </si>
  <si>
    <t>CS 외주</t>
  </si>
  <si>
    <t>인프라(LGU)</t>
  </si>
  <si>
    <t>CDN 서비스 -서비스 이용분</t>
  </si>
  <si>
    <t>인프라(KOL)</t>
  </si>
  <si>
    <t>영업대행 수수료(혼합)</t>
  </si>
  <si>
    <t>맑은소프트하이브리드앱유지보수</t>
  </si>
  <si>
    <t>일시(?)</t>
  </si>
  <si>
    <t>고정(분기)</t>
  </si>
  <si>
    <t>서울대한국어플러스 라이선스 정산수수료</t>
  </si>
  <si>
    <t>영업 대행 수수료 1 X 109,500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</si>
</sst>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월 d일"/>
  </numFmts>
  <fonts count="16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color rgb="FF2D3748"/>
      <name val="&quot;맑은 고딕&quot;"/>
    </font>
    <font>
      <u/>
      <color rgb="FF0000FF"/>
    </font>
    <font>
      <sz val="9.0"/>
      <color rgb="FF000000"/>
      <name val="&quot;맑은 고딕&quot;"/>
    </font>
    <font>
      <sz val="9.0"/>
      <color rgb="FF999999"/>
      <name val="Calibri"/>
      <scheme val="minor"/>
    </font>
    <font>
      <color rgb="FF999999"/>
      <name val="Calibri"/>
      <scheme val="minor"/>
    </font>
    <font>
      <sz val="9.0"/>
      <color rgb="FFA6A6A6"/>
      <name val="&quot;맑은 고딕&quot;"/>
    </font>
    <font>
      <color rgb="FF000000"/>
      <name val="&quot;맑은 고딕&quot;"/>
    </font>
    <font>
      <sz val="10.0"/>
      <color rgb="FF000000"/>
      <name val="Calibri"/>
      <scheme val="minor"/>
    </font>
    <font>
      <sz val="10.0"/>
      <color theme="1"/>
      <name val="Calibri"/>
      <scheme val="minor"/>
    </font>
    <font>
      <u/>
      <color rgb="FF000000"/>
      <name val="&quot;맑은 고딕&quot;"/>
    </font>
    <font>
      <sz val="12.0"/>
      <color theme="1"/>
      <name val="Calibri"/>
      <scheme val="minor"/>
    </font>
    <font>
      <color theme="1"/>
      <name val="Arial"/>
    </font>
    <font>
      <sz val="10.0"/>
      <color rgb="FF999999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3" numFmtId="3" xfId="0" applyAlignment="1" applyFill="1" applyFont="1" applyNumberFormat="1">
      <alignment horizontal="right" readingOrder="0" shrinkToFit="0" wrapText="0"/>
    </xf>
    <xf borderId="1" fillId="4" fontId="3" numFmtId="3" xfId="0" applyAlignment="1" applyBorder="1" applyFont="1" applyNumberFormat="1">
      <alignment horizontal="right" readingOrder="0" shrinkToFit="0" wrapText="0"/>
    </xf>
    <xf borderId="1" fillId="4" fontId="3" numFmtId="3" xfId="0" applyAlignment="1" applyBorder="1" applyFont="1" applyNumberFormat="1">
      <alignment horizontal="right" readingOrder="0" shrinkToFit="0" vertical="bottom" wrapText="0"/>
    </xf>
    <xf borderId="0" fillId="3" fontId="2" numFmtId="0" xfId="0" applyFont="1"/>
    <xf borderId="0" fillId="3" fontId="2" numFmtId="3" xfId="0" applyFont="1" applyNumberFormat="1"/>
    <xf borderId="0" fillId="3" fontId="2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5" fontId="5" numFmtId="3" xfId="0" applyAlignment="1" applyFill="1" applyFont="1" applyNumberFormat="1">
      <alignment horizontal="right" readingOrder="0" shrinkToFit="0" wrapText="0"/>
    </xf>
    <xf borderId="1" fillId="5" fontId="5" numFmtId="3" xfId="0" applyAlignment="1" applyBorder="1" applyFont="1" applyNumberFormat="1">
      <alignment horizontal="right" readingOrder="0" shrinkToFit="0" wrapText="0"/>
    </xf>
    <xf borderId="1" fillId="5" fontId="5" numFmtId="3" xfId="0" applyAlignment="1" applyBorder="1" applyFont="1" applyNumberFormat="1">
      <alignment horizontal="right" readingOrder="0" shrinkToFit="0" vertical="bottom" wrapText="0"/>
    </xf>
    <xf borderId="0" fillId="0" fontId="6" numFmtId="3" xfId="0" applyFont="1" applyNumberFormat="1"/>
    <xf borderId="0" fillId="3" fontId="2" numFmtId="10" xfId="0" applyFont="1" applyNumberFormat="1"/>
    <xf borderId="0" fillId="3" fontId="7" numFmtId="3" xfId="0" applyFont="1" applyNumberFormat="1"/>
    <xf borderId="1" fillId="5" fontId="5" numFmtId="0" xfId="0" applyAlignment="1" applyBorder="1" applyFont="1">
      <alignment horizontal="left" readingOrder="0" shrinkToFit="0" wrapText="0"/>
    </xf>
    <xf borderId="1" fillId="5" fontId="8" numFmtId="3" xfId="0" applyAlignment="1" applyBorder="1" applyFont="1" applyNumberFormat="1">
      <alignment horizontal="right" readingOrder="0" shrinkToFit="0" vertical="bottom" wrapText="0"/>
    </xf>
    <xf borderId="0" fillId="0" fontId="2" numFmtId="3" xfId="0" applyFont="1" applyNumberFormat="1"/>
    <xf borderId="0" fillId="5" fontId="2" numFmtId="0" xfId="0" applyFont="1"/>
    <xf borderId="0" fillId="5" fontId="9" numFmtId="0" xfId="0" applyAlignment="1" applyFont="1">
      <alignment readingOrder="0" shrinkToFit="0" wrapText="0"/>
    </xf>
    <xf borderId="0" fillId="5" fontId="9" numFmtId="164" xfId="0" applyAlignment="1" applyFont="1" applyNumberFormat="1">
      <alignment horizontal="center" readingOrder="0" shrinkToFit="0" wrapText="0"/>
    </xf>
    <xf borderId="0" fillId="5" fontId="10" numFmtId="3" xfId="0" applyAlignment="1" applyFont="1" applyNumberFormat="1">
      <alignment horizontal="right" readingOrder="0" shrinkToFit="0" wrapText="0"/>
    </xf>
    <xf borderId="0" fillId="5" fontId="11" numFmtId="3" xfId="0" applyAlignment="1" applyFont="1" applyNumberFormat="1">
      <alignment readingOrder="0"/>
    </xf>
    <xf borderId="0" fillId="5" fontId="11" numFmtId="3" xfId="0" applyFont="1" applyNumberFormat="1"/>
    <xf borderId="0" fillId="5" fontId="11" numFmtId="0" xfId="0" applyFont="1"/>
    <xf borderId="0" fillId="0" fontId="11" numFmtId="3" xfId="0" applyFont="1" applyNumberFormat="1"/>
    <xf borderId="0" fillId="5" fontId="12" numFmtId="0" xfId="0" applyAlignment="1" applyFont="1">
      <alignment readingOrder="0" shrinkToFit="0" wrapText="0"/>
    </xf>
    <xf borderId="0" fillId="0" fontId="13" numFmtId="3" xfId="0" applyFont="1" applyNumberFormat="1"/>
    <xf borderId="0" fillId="0" fontId="11" numFmtId="0" xfId="0" applyFont="1"/>
    <xf borderId="0" fillId="5" fontId="9" numFmtId="3" xfId="0" applyAlignment="1" applyFont="1" applyNumberFormat="1">
      <alignment horizontal="left" readingOrder="0" shrinkToFit="0" wrapText="0"/>
    </xf>
    <xf borderId="0" fillId="5" fontId="9" numFmtId="3" xfId="0" applyAlignment="1" applyFont="1" applyNumberFormat="1">
      <alignment horizontal="center" readingOrder="0" shrinkToFit="0" wrapText="0"/>
    </xf>
    <xf borderId="0" fillId="5" fontId="9" numFmtId="0" xfId="0" applyAlignment="1" applyFont="1">
      <alignment horizontal="left" readingOrder="0" shrinkToFit="0" wrapText="0"/>
    </xf>
    <xf borderId="0" fillId="5" fontId="9" numFmtId="0" xfId="0" applyAlignment="1" applyFont="1">
      <alignment horizontal="center" readingOrder="0" shrinkToFit="0" wrapText="0"/>
    </xf>
    <xf borderId="0" fillId="0" fontId="14" numFmtId="3" xfId="0" applyAlignment="1" applyFont="1" applyNumberFormat="1">
      <alignment readingOrder="0" vertical="bottom"/>
    </xf>
    <xf borderId="0" fillId="0" fontId="14" numFmtId="3" xfId="0" applyAlignment="1" applyFont="1" applyNumberForma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5" fontId="2" numFmtId="0" xfId="0" applyAlignment="1" applyFont="1">
      <alignment horizontal="center" readingOrder="0"/>
    </xf>
    <xf borderId="0" fillId="5" fontId="15" numFmtId="3" xfId="0" applyAlignment="1" applyFont="1" applyNumberFormat="1">
      <alignment readingOrder="0"/>
    </xf>
    <xf borderId="0" fillId="5" fontId="2" numFmtId="3" xfId="0" applyFont="1" applyNumberFormat="1"/>
    <xf borderId="0" fillId="6" fontId="2" numFmtId="0" xfId="0" applyFill="1" applyFont="1"/>
    <xf borderId="0" fillId="5" fontId="15" numFmtId="3" xfId="0" applyFont="1" applyNumberFormat="1"/>
    <xf borderId="0" fillId="7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5" fontId="2" numFmtId="0" xfId="0" applyAlignment="1" applyFont="1">
      <alignment readingOrder="0"/>
    </xf>
    <xf borderId="0" fillId="0" fontId="14" numFmtId="3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right" vertical="bottom"/>
    </xf>
    <xf borderId="0" fillId="0" fontId="11" numFmtId="3" xfId="0" applyAlignment="1" applyFont="1" applyNumberFormat="1">
      <alignment readingOrder="0" vertical="bottom"/>
    </xf>
    <xf borderId="0" fillId="0" fontId="11" numFmtId="3" xfId="0" applyAlignment="1" applyFont="1" applyNumberFormat="1">
      <alignment vertical="bottom"/>
    </xf>
    <xf borderId="0" fillId="0" fontId="15" numFmtId="3" xfId="0" applyFont="1" applyNumberFormat="1"/>
    <xf borderId="0" fillId="6" fontId="2" numFmtId="3" xfId="0" applyFont="1" applyNumberFormat="1"/>
    <xf borderId="0" fillId="0" fontId="14" numFmtId="0" xfId="0" applyAlignment="1" applyFont="1">
      <alignment horizontal="center" vertical="bottom"/>
    </xf>
    <xf borderId="0" fillId="6" fontId="2" numFmtId="10" xfId="0" applyFont="1" applyNumberFormat="1"/>
    <xf borderId="0" fillId="0" fontId="15" numFmtId="3" xfId="0" applyAlignment="1" applyFont="1" applyNumberFormat="1">
      <alignment readingOrder="0"/>
    </xf>
    <xf borderId="0" fillId="7" fontId="9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lgn-my.sharepoint.com/:x:/g/personal/hs_m_malgn_onmicrosoft_com/IQCZHk0IVMzcQ7M5E3NO4EoCARWbUmxSzCxcfdK-66f5sKw?rtime=ius48yW23kg" TargetMode="External"/><Relationship Id="rId2" Type="http://schemas.openxmlformats.org/officeDocument/2006/relationships/hyperlink" Target="https://malgn-my.sharepoint.com/:x:/g/personal/hs_m_malgn_onmicrosoft_com/IQA_sBbfDjd8SYUAklq37jcVAeuIEQJeeL7Ef2l0MgSN9WA?rtime=NQkFbkm23k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enspark.ai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genspark.ai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4.86"/>
    <col customWidth="1" min="3" max="3" width="17.29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 t="s">
        <v>0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/>
      <c r="S1" s="3"/>
      <c r="T1" s="3"/>
      <c r="V1" s="4"/>
    </row>
    <row r="2">
      <c r="A2" s="1" t="s">
        <v>8</v>
      </c>
      <c r="B2" s="2"/>
      <c r="C2" s="3"/>
      <c r="D2" s="3"/>
      <c r="E2" s="3"/>
      <c r="F2" s="3" t="s">
        <v>9</v>
      </c>
      <c r="G2" s="3" t="s">
        <v>10</v>
      </c>
      <c r="H2" s="3" t="s">
        <v>11</v>
      </c>
      <c r="I2" s="3" t="s">
        <v>12</v>
      </c>
      <c r="J2" s="3" t="str">
        <f>'비용통합'!P1</f>
        <v>5월(E)-절감X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V2" s="4" t="s">
        <v>23</v>
      </c>
    </row>
    <row r="3">
      <c r="A3" s="5" t="s">
        <v>24</v>
      </c>
      <c r="E3" s="6"/>
      <c r="F3" s="7">
        <v>6.7539214E8</v>
      </c>
      <c r="G3" s="8">
        <v>5.3946853E8</v>
      </c>
      <c r="H3" s="8">
        <v>4.97094329E8</v>
      </c>
      <c r="I3" s="8">
        <v>5.50686233E8</v>
      </c>
      <c r="J3" s="9"/>
      <c r="K3" s="9"/>
      <c r="L3" s="9"/>
      <c r="M3" s="9"/>
      <c r="N3" s="9"/>
      <c r="O3" s="9"/>
      <c r="P3" s="9"/>
      <c r="Q3" s="9"/>
      <c r="R3" s="10">
        <f t="shared" ref="R3:R7" si="1">sum(F3:I3)/4</f>
        <v>565660308</v>
      </c>
      <c r="S3" s="10">
        <f t="shared" ref="S3:S6" si="2">sum(F3:Q3)</f>
        <v>2262641232</v>
      </c>
      <c r="T3" s="11" t="s">
        <v>25</v>
      </c>
      <c r="V3" s="12" t="s">
        <v>26</v>
      </c>
    </row>
    <row r="4">
      <c r="B4" s="4" t="s">
        <v>27</v>
      </c>
      <c r="D4" s="13"/>
      <c r="E4" s="13"/>
      <c r="F4" s="14">
        <v>2.7140784E7</v>
      </c>
      <c r="G4" s="15">
        <v>6495494.0</v>
      </c>
      <c r="H4" s="15">
        <v>8693153.0</v>
      </c>
      <c r="I4" s="15">
        <v>1.4803057E7</v>
      </c>
      <c r="J4" s="16">
        <f>sum('비용통합'!P2:P80)</f>
        <v>7247347</v>
      </c>
      <c r="R4" s="10">
        <f t="shared" si="1"/>
        <v>14283122</v>
      </c>
      <c r="S4" s="10">
        <f t="shared" si="2"/>
        <v>64379835</v>
      </c>
      <c r="T4" s="17">
        <f t="shared" ref="T4:T6" si="3">S4/$S$3</f>
        <v>0.02845339954</v>
      </c>
    </row>
    <row r="5">
      <c r="B5" s="4" t="s">
        <v>28</v>
      </c>
      <c r="D5" s="13"/>
      <c r="E5" s="13"/>
      <c r="F5" s="14">
        <v>2.0800757E7</v>
      </c>
      <c r="G5" s="15">
        <v>1.5696145E7</v>
      </c>
      <c r="H5" s="15">
        <v>2.6020357E7</v>
      </c>
      <c r="I5" s="15">
        <v>2.1467572E7</v>
      </c>
      <c r="J5" s="16">
        <f>sum('비용통합'!P81:P93)</f>
        <v>17601035</v>
      </c>
      <c r="R5" s="10">
        <f t="shared" si="1"/>
        <v>20996207.75</v>
      </c>
      <c r="S5" s="10">
        <f t="shared" si="2"/>
        <v>101585866</v>
      </c>
      <c r="T5" s="17">
        <f t="shared" si="3"/>
        <v>0.04489702767</v>
      </c>
      <c r="V5" s="4" t="s">
        <v>29</v>
      </c>
    </row>
    <row r="6">
      <c r="B6" s="4" t="s">
        <v>30</v>
      </c>
      <c r="D6" s="13"/>
      <c r="E6" s="13"/>
      <c r="F6" s="14">
        <v>2.06834639E8</v>
      </c>
      <c r="G6" s="15">
        <v>2.06869625E8</v>
      </c>
      <c r="H6" s="15">
        <v>1.86409502E8</v>
      </c>
      <c r="I6" s="15">
        <v>2.2202871E8</v>
      </c>
      <c r="J6" s="16">
        <f>sum('비용통합'!P94:P130)</f>
        <v>192145345</v>
      </c>
      <c r="R6" s="10">
        <f t="shared" si="1"/>
        <v>205535619</v>
      </c>
      <c r="S6" s="10">
        <f t="shared" si="2"/>
        <v>1014287821</v>
      </c>
      <c r="T6" s="17">
        <f t="shared" si="3"/>
        <v>0.4482760266</v>
      </c>
      <c r="V6" s="12" t="s">
        <v>31</v>
      </c>
    </row>
    <row r="7">
      <c r="B7" s="5" t="s">
        <v>32</v>
      </c>
      <c r="C7" s="9"/>
      <c r="D7" s="9"/>
      <c r="E7" s="9"/>
      <c r="F7" s="10">
        <f t="shared" ref="F7:J7" si="4">SUM(F4:F6)</f>
        <v>254776180</v>
      </c>
      <c r="G7" s="10">
        <f t="shared" si="4"/>
        <v>229061264</v>
      </c>
      <c r="H7" s="10">
        <f t="shared" si="4"/>
        <v>221123012</v>
      </c>
      <c r="I7" s="10">
        <f t="shared" si="4"/>
        <v>258299339</v>
      </c>
      <c r="J7" s="18">
        <f t="shared" si="4"/>
        <v>216993727</v>
      </c>
      <c r="K7" s="9"/>
      <c r="L7" s="9"/>
      <c r="M7" s="9"/>
      <c r="N7" s="9"/>
      <c r="O7" s="9"/>
      <c r="P7" s="9"/>
      <c r="Q7" s="9"/>
      <c r="R7" s="10">
        <f t="shared" si="1"/>
        <v>240814948.8</v>
      </c>
      <c r="S7" s="10">
        <f t="shared" ref="S7:T7" si="5">sum(S4:S6)</f>
        <v>1180253522</v>
      </c>
      <c r="T7" s="17">
        <f t="shared" si="5"/>
        <v>0.5216264538</v>
      </c>
    </row>
    <row r="8">
      <c r="J8" s="4" t="s">
        <v>33</v>
      </c>
    </row>
    <row r="9">
      <c r="A9" s="1" t="s">
        <v>34</v>
      </c>
      <c r="B9" s="2"/>
    </row>
    <row r="10">
      <c r="B10" s="19" t="s">
        <v>27</v>
      </c>
      <c r="F10" s="14">
        <v>2.7140784E7</v>
      </c>
      <c r="G10" s="15">
        <v>6495494.0</v>
      </c>
      <c r="H10" s="15">
        <v>8693153.0</v>
      </c>
      <c r="I10" s="15">
        <v>1.4803057E7</v>
      </c>
      <c r="J10" s="20">
        <v>8693153.0</v>
      </c>
    </row>
    <row r="11">
      <c r="B11" s="19" t="s">
        <v>28</v>
      </c>
      <c r="F11" s="14">
        <v>2.0800757E7</v>
      </c>
      <c r="G11" s="15">
        <v>1.5696145E7</v>
      </c>
      <c r="H11" s="15">
        <v>2.6020357E7</v>
      </c>
      <c r="I11" s="15">
        <v>2.1467572E7</v>
      </c>
      <c r="J11" s="20">
        <v>2.6020357E7</v>
      </c>
    </row>
    <row r="12">
      <c r="B12" s="19" t="s">
        <v>35</v>
      </c>
      <c r="F12" s="14">
        <v>1382590.0</v>
      </c>
      <c r="G12" s="15">
        <v>1438470.0</v>
      </c>
      <c r="H12" s="15">
        <v>1384330.0</v>
      </c>
      <c r="I12" s="15">
        <v>1360340.0</v>
      </c>
      <c r="J12" s="20">
        <v>1384330.0</v>
      </c>
    </row>
    <row r="13">
      <c r="B13" s="19" t="s">
        <v>30</v>
      </c>
      <c r="F13" s="14">
        <v>2.06834639E8</v>
      </c>
      <c r="G13" s="15">
        <v>2.06869625E8</v>
      </c>
      <c r="H13" s="15">
        <v>1.86409502E8</v>
      </c>
      <c r="I13" s="15">
        <v>2.2202871E8</v>
      </c>
      <c r="J13" s="20">
        <v>1.86409502E8</v>
      </c>
    </row>
    <row r="14">
      <c r="B14" s="5" t="s">
        <v>32</v>
      </c>
      <c r="C14" s="9"/>
      <c r="D14" s="9"/>
      <c r="E14" s="9"/>
      <c r="F14" s="10">
        <f t="shared" ref="F14:J14" si="6">SUM(F11:F13)</f>
        <v>229017986</v>
      </c>
      <c r="G14" s="10">
        <f t="shared" si="6"/>
        <v>224004240</v>
      </c>
      <c r="H14" s="10">
        <f t="shared" si="6"/>
        <v>213814189</v>
      </c>
      <c r="I14" s="10">
        <f t="shared" si="6"/>
        <v>244856622</v>
      </c>
      <c r="J14" s="18">
        <f t="shared" si="6"/>
        <v>213814189</v>
      </c>
    </row>
  </sheetData>
  <mergeCells count="1">
    <mergeCell ref="A3:D3"/>
  </mergeCells>
  <hyperlinks>
    <hyperlink r:id="rId1" ref="V3"/>
    <hyperlink r:id="rId2" ref="V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15.57"/>
    <col customWidth="1" min="3" max="3" width="53.71"/>
    <col customWidth="1" min="4" max="4" width="40.29"/>
    <col customWidth="1" min="6" max="6" width="17.29"/>
  </cols>
  <sheetData>
    <row r="1">
      <c r="A1" s="1"/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41</v>
      </c>
      <c r="L1" s="3" t="s">
        <v>42</v>
      </c>
      <c r="M1" s="3" t="s">
        <v>43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21</v>
      </c>
      <c r="T1" s="3" t="s">
        <v>22</v>
      </c>
      <c r="V1" s="21">
        <f>'전체'!S4</f>
        <v>64379835</v>
      </c>
    </row>
    <row r="2">
      <c r="A2" s="22"/>
      <c r="B2" s="23" t="s">
        <v>27</v>
      </c>
      <c r="C2" s="23" t="s">
        <v>44</v>
      </c>
      <c r="D2" s="23" t="s">
        <v>44</v>
      </c>
      <c r="E2" s="22"/>
      <c r="F2" s="24">
        <v>46023.0</v>
      </c>
      <c r="G2" s="25">
        <v>400.0</v>
      </c>
      <c r="H2" s="26">
        <v>400.0</v>
      </c>
      <c r="I2" s="27"/>
      <c r="J2" s="27"/>
      <c r="K2" s="28"/>
      <c r="L2" s="28"/>
      <c r="M2" s="28"/>
      <c r="N2" s="28"/>
      <c r="O2" s="28"/>
      <c r="P2" s="28"/>
      <c r="Q2" s="28"/>
      <c r="R2" s="28"/>
      <c r="S2" s="28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22"/>
      <c r="B3" s="23" t="s">
        <v>27</v>
      </c>
      <c r="C3" s="23" t="s">
        <v>45</v>
      </c>
      <c r="D3" s="23" t="s">
        <v>46</v>
      </c>
      <c r="E3" s="22"/>
      <c r="F3" s="24">
        <v>46023.0</v>
      </c>
      <c r="G3" s="25">
        <v>42636.0</v>
      </c>
      <c r="H3" s="26">
        <v>42636.0</v>
      </c>
      <c r="I3" s="26">
        <v>42636.0</v>
      </c>
      <c r="J3" s="26">
        <v>42636.0</v>
      </c>
      <c r="K3" s="28"/>
      <c r="L3" s="28"/>
      <c r="M3" s="28"/>
      <c r="N3" s="28"/>
      <c r="O3" s="28"/>
      <c r="P3" s="28"/>
      <c r="Q3" s="28"/>
      <c r="R3" s="28"/>
      <c r="S3" s="28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>
      <c r="A4" s="22"/>
      <c r="B4" s="23" t="s">
        <v>27</v>
      </c>
      <c r="C4" s="23" t="s">
        <v>47</v>
      </c>
      <c r="D4" s="23" t="s">
        <v>48</v>
      </c>
      <c r="E4" s="22"/>
      <c r="F4" s="24">
        <v>46024.0</v>
      </c>
      <c r="G4" s="25">
        <v>111000.0</v>
      </c>
      <c r="H4" s="26">
        <v>109500.0</v>
      </c>
      <c r="I4" s="26">
        <v>109500.0</v>
      </c>
      <c r="J4" s="27"/>
      <c r="K4" s="28"/>
      <c r="L4" s="28"/>
      <c r="M4" s="28"/>
      <c r="N4" s="28"/>
      <c r="O4" s="28"/>
      <c r="P4" s="28"/>
      <c r="Q4" s="28"/>
      <c r="R4" s="28"/>
      <c r="S4" s="28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>
      <c r="A5" s="22"/>
      <c r="B5" s="23" t="s">
        <v>27</v>
      </c>
      <c r="C5" s="23" t="s">
        <v>49</v>
      </c>
      <c r="D5" s="23" t="s">
        <v>50</v>
      </c>
      <c r="E5" s="22"/>
      <c r="F5" s="24">
        <v>46027.0</v>
      </c>
      <c r="G5" s="25">
        <v>10000.0</v>
      </c>
      <c r="H5" s="27"/>
      <c r="I5" s="25">
        <v>1000.0</v>
      </c>
      <c r="J5" s="26">
        <v>15000.0</v>
      </c>
      <c r="K5" s="28"/>
      <c r="L5" s="28"/>
      <c r="M5" s="28"/>
      <c r="N5" s="28"/>
      <c r="O5" s="28"/>
      <c r="P5" s="28"/>
      <c r="Q5" s="28"/>
      <c r="R5" s="28"/>
      <c r="S5" s="28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>
      <c r="A6" s="22"/>
      <c r="B6" s="23" t="s">
        <v>27</v>
      </c>
      <c r="C6" s="23" t="s">
        <v>51</v>
      </c>
      <c r="D6" s="23" t="s">
        <v>52</v>
      </c>
      <c r="E6" s="22"/>
      <c r="F6" s="24">
        <v>46050.0</v>
      </c>
      <c r="G6" s="25">
        <v>1700.0</v>
      </c>
      <c r="H6" s="27"/>
      <c r="I6" s="27"/>
      <c r="J6" s="25">
        <v>1000.0</v>
      </c>
      <c r="K6" s="28"/>
      <c r="L6" s="28"/>
      <c r="M6" s="28"/>
      <c r="N6" s="28"/>
      <c r="O6" s="28"/>
      <c r="P6" s="28"/>
      <c r="Q6" s="28"/>
      <c r="R6" s="28"/>
      <c r="S6" s="28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>
      <c r="A7" s="22"/>
      <c r="B7" s="23" t="s">
        <v>27</v>
      </c>
      <c r="C7" s="23" t="s">
        <v>53</v>
      </c>
      <c r="D7" s="23" t="s">
        <v>54</v>
      </c>
      <c r="E7" s="22"/>
      <c r="F7" s="24">
        <v>46037.0</v>
      </c>
      <c r="G7" s="25">
        <v>8637.0</v>
      </c>
      <c r="H7" s="26">
        <v>36366.0</v>
      </c>
      <c r="I7" s="25">
        <v>2728.0</v>
      </c>
      <c r="J7" s="27"/>
      <c r="K7" s="28"/>
      <c r="L7" s="28"/>
      <c r="M7" s="28"/>
      <c r="N7" s="28"/>
      <c r="O7" s="28"/>
      <c r="P7" s="28"/>
      <c r="Q7" s="28"/>
      <c r="R7" s="28"/>
      <c r="S7" s="28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>
      <c r="A8" s="22"/>
      <c r="B8" s="23" t="s">
        <v>27</v>
      </c>
      <c r="C8" s="23" t="s">
        <v>55</v>
      </c>
      <c r="D8" s="23" t="s">
        <v>56</v>
      </c>
      <c r="E8" s="22"/>
      <c r="F8" s="24">
        <v>46040.0</v>
      </c>
      <c r="G8" s="25">
        <v>38310.0</v>
      </c>
      <c r="H8" s="27"/>
      <c r="I8" s="27"/>
      <c r="J8" s="27"/>
      <c r="K8" s="28"/>
      <c r="L8" s="28"/>
      <c r="M8" s="28"/>
      <c r="N8" s="28"/>
      <c r="O8" s="28"/>
      <c r="P8" s="28"/>
      <c r="Q8" s="28"/>
      <c r="R8" s="28"/>
      <c r="S8" s="28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>
      <c r="A9" s="22"/>
      <c r="B9" s="23" t="s">
        <v>27</v>
      </c>
      <c r="C9" s="23" t="s">
        <v>57</v>
      </c>
      <c r="D9" s="23" t="s">
        <v>58</v>
      </c>
      <c r="E9" s="22"/>
      <c r="F9" s="24">
        <v>46027.0</v>
      </c>
      <c r="G9" s="25">
        <v>60000.0</v>
      </c>
      <c r="H9" s="26">
        <v>60000.0</v>
      </c>
      <c r="I9" s="26">
        <v>60000.0</v>
      </c>
      <c r="J9" s="26">
        <v>60000.0</v>
      </c>
      <c r="K9" s="28"/>
      <c r="L9" s="28"/>
      <c r="M9" s="28"/>
      <c r="N9" s="28"/>
      <c r="O9" s="28"/>
      <c r="P9" s="28"/>
      <c r="Q9" s="28"/>
      <c r="R9" s="28"/>
      <c r="S9" s="28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>
      <c r="A10" s="22"/>
      <c r="B10" s="23" t="s">
        <v>27</v>
      </c>
      <c r="C10" s="23" t="s">
        <v>59</v>
      </c>
      <c r="D10" s="23" t="s">
        <v>60</v>
      </c>
      <c r="E10" s="22"/>
      <c r="F10" s="24">
        <v>46027.0</v>
      </c>
      <c r="G10" s="25">
        <v>50000.0</v>
      </c>
      <c r="H10" s="26">
        <v>50000.0</v>
      </c>
      <c r="I10" s="26">
        <v>50000.0</v>
      </c>
      <c r="J10" s="26">
        <v>50000.0</v>
      </c>
      <c r="K10" s="28"/>
      <c r="L10" s="28"/>
      <c r="M10" s="28"/>
      <c r="N10" s="28"/>
      <c r="O10" s="28"/>
      <c r="P10" s="28"/>
      <c r="Q10" s="28"/>
      <c r="R10" s="28"/>
      <c r="S10" s="28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>
      <c r="A11" s="22"/>
      <c r="B11" s="23" t="s">
        <v>27</v>
      </c>
      <c r="C11" s="23" t="s">
        <v>61</v>
      </c>
      <c r="D11" s="23" t="s">
        <v>62</v>
      </c>
      <c r="E11" s="22"/>
      <c r="F11" s="24">
        <v>46027.0</v>
      </c>
      <c r="G11" s="25">
        <v>70000.0</v>
      </c>
      <c r="H11" s="26">
        <v>70000.0</v>
      </c>
      <c r="I11" s="26">
        <v>70000.0</v>
      </c>
      <c r="J11" s="26">
        <v>70000.0</v>
      </c>
      <c r="K11" s="28"/>
      <c r="L11" s="28"/>
      <c r="M11" s="28"/>
      <c r="N11" s="28"/>
      <c r="O11" s="28"/>
      <c r="P11" s="28"/>
      <c r="Q11" s="28"/>
      <c r="R11" s="28"/>
      <c r="S11" s="28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>
      <c r="A12" s="22"/>
      <c r="B12" s="23" t="s">
        <v>27</v>
      </c>
      <c r="C12" s="23" t="s">
        <v>63</v>
      </c>
      <c r="D12" s="23" t="s">
        <v>64</v>
      </c>
      <c r="E12" s="22"/>
      <c r="F12" s="24">
        <v>46027.0</v>
      </c>
      <c r="G12" s="25">
        <v>96000.0</v>
      </c>
      <c r="H12" s="25">
        <v>85000.0</v>
      </c>
      <c r="I12" s="25">
        <v>95285.0</v>
      </c>
      <c r="J12" s="25">
        <v>96160.0</v>
      </c>
      <c r="K12" s="28"/>
      <c r="L12" s="28"/>
      <c r="M12" s="28"/>
      <c r="N12" s="28"/>
      <c r="O12" s="28"/>
      <c r="P12" s="28"/>
      <c r="Q12" s="28"/>
      <c r="R12" s="28"/>
      <c r="S12" s="28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>
      <c r="A13" s="22"/>
      <c r="B13" s="23" t="s">
        <v>27</v>
      </c>
      <c r="C13" s="23" t="s">
        <v>65</v>
      </c>
      <c r="D13" s="23" t="s">
        <v>66</v>
      </c>
      <c r="E13" s="22"/>
      <c r="F13" s="24">
        <v>46027.0</v>
      </c>
      <c r="G13" s="25">
        <v>75000.0</v>
      </c>
      <c r="H13" s="27"/>
      <c r="I13" s="27"/>
      <c r="J13" s="25">
        <v>165000.0</v>
      </c>
      <c r="K13" s="28"/>
      <c r="L13" s="28"/>
      <c r="M13" s="28"/>
      <c r="N13" s="28"/>
      <c r="O13" s="28"/>
      <c r="P13" s="28"/>
      <c r="Q13" s="28"/>
      <c r="R13" s="28"/>
      <c r="S13" s="28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2"/>
      <c r="B14" s="23" t="s">
        <v>27</v>
      </c>
      <c r="C14" s="23" t="s">
        <v>67</v>
      </c>
      <c r="D14" s="23" t="s">
        <v>54</v>
      </c>
      <c r="E14" s="22"/>
      <c r="F14" s="24">
        <v>46028.0</v>
      </c>
      <c r="G14" s="25">
        <v>104000.0</v>
      </c>
      <c r="H14" s="25">
        <v>104000.0</v>
      </c>
      <c r="I14" s="25">
        <v>104000.0</v>
      </c>
      <c r="J14" s="25">
        <v>94546.0</v>
      </c>
      <c r="K14" s="28"/>
      <c r="L14" s="28"/>
      <c r="M14" s="28"/>
      <c r="N14" s="28"/>
      <c r="O14" s="28"/>
      <c r="P14" s="28"/>
      <c r="Q14" s="28"/>
      <c r="R14" s="28"/>
      <c r="S14" s="28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>
      <c r="A15" s="22"/>
      <c r="B15" s="23" t="s">
        <v>27</v>
      </c>
      <c r="C15" s="23" t="s">
        <v>55</v>
      </c>
      <c r="D15" s="23" t="s">
        <v>64</v>
      </c>
      <c r="E15" s="22"/>
      <c r="F15" s="24">
        <v>46028.0</v>
      </c>
      <c r="G15" s="25">
        <v>12638.0</v>
      </c>
      <c r="H15" s="25">
        <v>66265.0</v>
      </c>
      <c r="I15" s="25">
        <v>4455.0</v>
      </c>
      <c r="J15" s="27"/>
      <c r="K15" s="28"/>
      <c r="L15" s="28"/>
      <c r="M15" s="28"/>
      <c r="N15" s="28"/>
      <c r="O15" s="28"/>
      <c r="P15" s="28"/>
      <c r="Q15" s="28"/>
      <c r="R15" s="28"/>
      <c r="S15" s="28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>
      <c r="A16" s="22"/>
      <c r="B16" s="23" t="s">
        <v>27</v>
      </c>
      <c r="C16" s="23" t="s">
        <v>55</v>
      </c>
      <c r="D16" s="23" t="s">
        <v>68</v>
      </c>
      <c r="E16" s="22"/>
      <c r="F16" s="24">
        <v>46031.0</v>
      </c>
      <c r="G16" s="25">
        <v>6000000.0</v>
      </c>
      <c r="H16" s="27"/>
      <c r="I16" s="27"/>
      <c r="J16" s="27"/>
      <c r="K16" s="28"/>
      <c r="L16" s="28"/>
      <c r="M16" s="28"/>
      <c r="N16" s="28"/>
      <c r="O16" s="28"/>
      <c r="P16" s="28"/>
      <c r="Q16" s="28"/>
      <c r="R16" s="28"/>
      <c r="S16" s="28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>
      <c r="A17" s="22"/>
      <c r="B17" s="23" t="s">
        <v>27</v>
      </c>
      <c r="C17" s="23" t="s">
        <v>55</v>
      </c>
      <c r="D17" s="23" t="s">
        <v>69</v>
      </c>
      <c r="E17" s="22"/>
      <c r="F17" s="24">
        <v>46034.0</v>
      </c>
      <c r="G17" s="25">
        <v>145200.0</v>
      </c>
      <c r="H17" s="27"/>
      <c r="I17" s="27"/>
      <c r="J17" s="27"/>
      <c r="K17" s="28"/>
      <c r="L17" s="28"/>
      <c r="M17" s="28"/>
      <c r="N17" s="28"/>
      <c r="O17" s="28"/>
      <c r="P17" s="28"/>
      <c r="Q17" s="28"/>
      <c r="R17" s="28"/>
      <c r="S17" s="28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>
      <c r="A18" s="22"/>
      <c r="B18" s="23" t="s">
        <v>27</v>
      </c>
      <c r="C18" s="23" t="s">
        <v>55</v>
      </c>
      <c r="D18" s="23" t="s">
        <v>70</v>
      </c>
      <c r="E18" s="22"/>
      <c r="F18" s="24">
        <v>46098.0</v>
      </c>
      <c r="G18" s="27"/>
      <c r="H18" s="27"/>
      <c r="I18" s="25">
        <v>9091.0</v>
      </c>
      <c r="J18" s="27"/>
      <c r="K18" s="28"/>
      <c r="L18" s="28"/>
      <c r="M18" s="28"/>
      <c r="N18" s="28"/>
      <c r="O18" s="28"/>
      <c r="P18" s="28"/>
      <c r="Q18" s="28"/>
      <c r="R18" s="28"/>
      <c r="S18" s="28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>
      <c r="A19" s="22"/>
      <c r="B19" s="23" t="s">
        <v>27</v>
      </c>
      <c r="C19" s="23" t="s">
        <v>71</v>
      </c>
      <c r="D19" s="23" t="s">
        <v>69</v>
      </c>
      <c r="E19" s="22"/>
      <c r="F19" s="24">
        <v>46129.0</v>
      </c>
      <c r="G19" s="27"/>
      <c r="H19" s="27"/>
      <c r="I19" s="27"/>
      <c r="J19" s="25">
        <v>7273.0</v>
      </c>
      <c r="K19" s="28"/>
      <c r="L19" s="28"/>
      <c r="M19" s="28"/>
      <c r="N19" s="28"/>
      <c r="O19" s="28"/>
      <c r="P19" s="28"/>
      <c r="Q19" s="28"/>
      <c r="R19" s="28"/>
      <c r="S19" s="28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>
      <c r="A20" s="22"/>
      <c r="B20" s="23" t="s">
        <v>27</v>
      </c>
      <c r="C20" s="23" t="s">
        <v>72</v>
      </c>
      <c r="D20" s="23" t="s">
        <v>73</v>
      </c>
      <c r="E20" s="22"/>
      <c r="F20" s="24">
        <v>46029.0</v>
      </c>
      <c r="G20" s="25">
        <v>522327.0</v>
      </c>
      <c r="H20" s="27"/>
      <c r="I20" s="27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>
      <c r="A21" s="22"/>
      <c r="B21" s="23" t="s">
        <v>27</v>
      </c>
      <c r="C21" s="23" t="s">
        <v>74</v>
      </c>
      <c r="D21" s="23" t="s">
        <v>75</v>
      </c>
      <c r="E21" s="22"/>
      <c r="F21" s="24">
        <v>46031.0</v>
      </c>
      <c r="G21" s="25">
        <v>45364.0</v>
      </c>
      <c r="H21" s="25">
        <v>45364.0</v>
      </c>
      <c r="I21" s="25">
        <v>45364.0</v>
      </c>
      <c r="J21" s="25">
        <v>45364.0</v>
      </c>
      <c r="K21" s="28"/>
      <c r="L21" s="28"/>
      <c r="M21" s="28"/>
      <c r="N21" s="28"/>
      <c r="O21" s="28"/>
      <c r="P21" s="28"/>
      <c r="Q21" s="28"/>
      <c r="R21" s="28"/>
      <c r="S21" s="28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>
      <c r="A22" s="22"/>
      <c r="B22" s="23" t="s">
        <v>27</v>
      </c>
      <c r="C22" s="23" t="s">
        <v>76</v>
      </c>
      <c r="D22" s="23" t="s">
        <v>64</v>
      </c>
      <c r="E22" s="22"/>
      <c r="F22" s="24">
        <v>46031.0</v>
      </c>
      <c r="G22" s="25">
        <v>5457.0</v>
      </c>
      <c r="H22" s="27">
        <v>23183.0</v>
      </c>
      <c r="I22" s="27"/>
      <c r="J22" s="27"/>
      <c r="K22" s="28"/>
      <c r="L22" s="28"/>
      <c r="M22" s="28"/>
      <c r="N22" s="28"/>
      <c r="O22" s="28"/>
      <c r="P22" s="28"/>
      <c r="Q22" s="28"/>
      <c r="R22" s="28"/>
      <c r="S22" s="28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>
      <c r="A23" s="22"/>
      <c r="B23" s="23" t="s">
        <v>27</v>
      </c>
      <c r="C23" s="23" t="s">
        <v>77</v>
      </c>
      <c r="D23" s="23" t="s">
        <v>64</v>
      </c>
      <c r="E23" s="22"/>
      <c r="F23" s="24">
        <v>46031.0</v>
      </c>
      <c r="G23" s="25">
        <v>271819.0</v>
      </c>
      <c r="H23" s="27"/>
      <c r="I23" s="27"/>
      <c r="J23" s="27"/>
      <c r="K23" s="28"/>
      <c r="L23" s="28"/>
      <c r="M23" s="28"/>
      <c r="N23" s="28"/>
      <c r="O23" s="28"/>
      <c r="P23" s="28"/>
      <c r="Q23" s="28"/>
      <c r="R23" s="28"/>
      <c r="S23" s="28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>
      <c r="A24" s="22"/>
      <c r="B24" s="23" t="s">
        <v>27</v>
      </c>
      <c r="C24" s="23" t="s">
        <v>78</v>
      </c>
      <c r="D24" s="23" t="s">
        <v>79</v>
      </c>
      <c r="E24" s="22"/>
      <c r="F24" s="24">
        <v>46031.0</v>
      </c>
      <c r="G24" s="25">
        <v>7173.0</v>
      </c>
      <c r="H24" s="25">
        <v>7173.0</v>
      </c>
      <c r="I24" s="25">
        <v>7173.0</v>
      </c>
      <c r="J24" s="25">
        <v>7173.0</v>
      </c>
      <c r="K24" s="28"/>
      <c r="L24" s="28"/>
      <c r="M24" s="28"/>
      <c r="N24" s="28"/>
      <c r="O24" s="28"/>
      <c r="P24" s="28"/>
      <c r="Q24" s="28"/>
      <c r="R24" s="28"/>
      <c r="S24" s="28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>
      <c r="A25" s="22"/>
      <c r="B25" s="23" t="s">
        <v>27</v>
      </c>
      <c r="C25" s="23" t="s">
        <v>80</v>
      </c>
      <c r="D25" s="23" t="s">
        <v>79</v>
      </c>
      <c r="E25" s="22"/>
      <c r="F25" s="24">
        <v>46121.0</v>
      </c>
      <c r="G25" s="27"/>
      <c r="H25" s="27"/>
      <c r="I25" s="27"/>
      <c r="J25" s="29"/>
      <c r="K25" s="28"/>
      <c r="L25" s="28"/>
      <c r="M25" s="28"/>
      <c r="N25" s="28"/>
      <c r="O25" s="28"/>
      <c r="P25" s="28"/>
      <c r="Q25" s="28"/>
      <c r="R25" s="28"/>
      <c r="S25" s="28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>
      <c r="A26" s="22"/>
      <c r="B26" s="23" t="s">
        <v>27</v>
      </c>
      <c r="C26" s="23" t="s">
        <v>81</v>
      </c>
      <c r="D26" s="23" t="s">
        <v>82</v>
      </c>
      <c r="E26" s="22"/>
      <c r="F26" s="24">
        <v>46034.0</v>
      </c>
      <c r="G26" s="25">
        <v>3000.0</v>
      </c>
      <c r="H26" s="25">
        <v>3000.0</v>
      </c>
      <c r="I26" s="25">
        <v>3000.0</v>
      </c>
      <c r="J26" s="25">
        <v>3000.0</v>
      </c>
      <c r="K26" s="28"/>
      <c r="L26" s="28"/>
      <c r="M26" s="28"/>
      <c r="N26" s="28"/>
      <c r="O26" s="28"/>
      <c r="P26" s="28"/>
      <c r="Q26" s="28"/>
      <c r="R26" s="28"/>
      <c r="S26" s="28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>
      <c r="A27" s="22"/>
      <c r="B27" s="23" t="s">
        <v>27</v>
      </c>
      <c r="C27" s="23" t="s">
        <v>83</v>
      </c>
      <c r="D27" s="23" t="s">
        <v>84</v>
      </c>
      <c r="E27" s="22"/>
      <c r="F27" s="24">
        <v>46034.0</v>
      </c>
      <c r="G27" s="25">
        <v>1800.0</v>
      </c>
      <c r="H27" s="25">
        <v>1800.0</v>
      </c>
      <c r="I27" s="25">
        <v>1800.0</v>
      </c>
      <c r="J27" s="25">
        <v>1800.0</v>
      </c>
      <c r="K27" s="28"/>
      <c r="L27" s="28"/>
      <c r="M27" s="28"/>
      <c r="N27" s="28"/>
      <c r="O27" s="28"/>
      <c r="P27" s="28"/>
      <c r="Q27" s="28"/>
      <c r="R27" s="28"/>
      <c r="S27" s="28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>
      <c r="A28" s="22"/>
      <c r="B28" s="23" t="s">
        <v>27</v>
      </c>
      <c r="C28" s="23" t="s">
        <v>85</v>
      </c>
      <c r="D28" s="23" t="s">
        <v>86</v>
      </c>
      <c r="E28" s="22"/>
      <c r="F28" s="24">
        <v>46036.0</v>
      </c>
      <c r="G28" s="25">
        <v>193200.0</v>
      </c>
      <c r="H28" s="26">
        <v>70000.0</v>
      </c>
      <c r="I28" s="26">
        <v>251791.0</v>
      </c>
      <c r="J28" s="26">
        <v>82000.0</v>
      </c>
      <c r="K28" s="28"/>
      <c r="L28" s="28"/>
      <c r="M28" s="28"/>
      <c r="N28" s="28"/>
      <c r="O28" s="28"/>
      <c r="P28" s="28"/>
      <c r="Q28" s="28"/>
      <c r="R28" s="28"/>
      <c r="S28" s="28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>
      <c r="A29" s="22"/>
      <c r="B29" s="23" t="s">
        <v>27</v>
      </c>
      <c r="C29" s="23" t="s">
        <v>87</v>
      </c>
      <c r="D29" s="23" t="s">
        <v>88</v>
      </c>
      <c r="E29" s="22"/>
      <c r="F29" s="24">
        <v>46043.0</v>
      </c>
      <c r="G29" s="25">
        <v>456000.0</v>
      </c>
      <c r="H29" s="27"/>
      <c r="I29" s="27"/>
      <c r="J29" s="27"/>
      <c r="K29" s="28"/>
      <c r="L29" s="28"/>
      <c r="M29" s="28"/>
      <c r="N29" s="28"/>
      <c r="O29" s="28"/>
      <c r="P29" s="28"/>
      <c r="Q29" s="28"/>
      <c r="R29" s="28"/>
      <c r="S29" s="28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>
      <c r="A30" s="22"/>
      <c r="B30" s="23" t="s">
        <v>27</v>
      </c>
      <c r="C30" s="23" t="s">
        <v>89</v>
      </c>
      <c r="D30" s="23" t="s">
        <v>90</v>
      </c>
      <c r="E30" s="22"/>
      <c r="F30" s="24">
        <v>46045.0</v>
      </c>
      <c r="G30" s="25">
        <v>400000.0</v>
      </c>
      <c r="H30" s="25">
        <v>300000.0</v>
      </c>
      <c r="I30" s="27"/>
      <c r="J30" s="25">
        <v>300000.0</v>
      </c>
      <c r="K30" s="28"/>
      <c r="L30" s="28"/>
      <c r="M30" s="28"/>
      <c r="N30" s="28"/>
      <c r="O30" s="28"/>
      <c r="P30" s="28"/>
      <c r="Q30" s="28"/>
      <c r="R30" s="28"/>
      <c r="S30" s="28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>
      <c r="A31" s="22"/>
      <c r="B31" s="23" t="s">
        <v>27</v>
      </c>
      <c r="C31" s="23" t="s">
        <v>91</v>
      </c>
      <c r="D31" s="23" t="s">
        <v>92</v>
      </c>
      <c r="E31" s="22"/>
      <c r="F31" s="24">
        <v>46047.0</v>
      </c>
      <c r="G31" s="25">
        <v>250000.0</v>
      </c>
      <c r="H31" s="25">
        <v>250000.0</v>
      </c>
      <c r="I31" s="25">
        <v>250000.0</v>
      </c>
      <c r="J31" s="25">
        <v>250000.0</v>
      </c>
      <c r="K31" s="28"/>
      <c r="L31" s="28"/>
      <c r="M31" s="28"/>
      <c r="N31" s="28"/>
      <c r="O31" s="28"/>
      <c r="P31" s="28"/>
      <c r="Q31" s="28"/>
      <c r="R31" s="28"/>
      <c r="S31" s="28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2"/>
      <c r="B32" s="23" t="s">
        <v>27</v>
      </c>
      <c r="C32" s="23" t="s">
        <v>93</v>
      </c>
      <c r="D32" s="23" t="s">
        <v>92</v>
      </c>
      <c r="E32" s="22"/>
      <c r="F32" s="24">
        <v>46106.0</v>
      </c>
      <c r="G32" s="27"/>
      <c r="H32" s="27"/>
      <c r="I32" s="25">
        <v>4950000.0</v>
      </c>
      <c r="J32" s="27"/>
      <c r="K32" s="28"/>
      <c r="L32" s="28"/>
      <c r="M32" s="28"/>
      <c r="N32" s="28"/>
      <c r="O32" s="28"/>
      <c r="P32" s="28"/>
      <c r="Q32" s="28"/>
      <c r="R32" s="28"/>
      <c r="S32" s="28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>
      <c r="A33" s="22"/>
      <c r="B33" s="23" t="s">
        <v>27</v>
      </c>
      <c r="C33" s="23" t="s">
        <v>94</v>
      </c>
      <c r="D33" s="23" t="s">
        <v>95</v>
      </c>
      <c r="E33" s="22"/>
      <c r="F33" s="24">
        <v>46048.0</v>
      </c>
      <c r="G33" s="25">
        <v>6396000.0</v>
      </c>
      <c r="H33" s="27"/>
      <c r="I33" s="27"/>
      <c r="J33" s="27"/>
      <c r="K33" s="28"/>
      <c r="L33" s="28"/>
      <c r="M33" s="28"/>
      <c r="N33" s="28"/>
      <c r="O33" s="28"/>
      <c r="P33" s="28"/>
      <c r="Q33" s="28"/>
      <c r="R33" s="28"/>
      <c r="S33" s="28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>
      <c r="A34" s="22"/>
      <c r="B34" s="23" t="s">
        <v>27</v>
      </c>
      <c r="C34" s="23" t="s">
        <v>96</v>
      </c>
      <c r="D34" s="23" t="s">
        <v>97</v>
      </c>
      <c r="E34" s="22"/>
      <c r="F34" s="24">
        <v>46050.0</v>
      </c>
      <c r="G34" s="25">
        <v>1.00834E7</v>
      </c>
      <c r="H34" s="27"/>
      <c r="I34" s="25">
        <v>175500.0</v>
      </c>
      <c r="J34" s="27"/>
      <c r="K34" s="28"/>
      <c r="L34" s="28"/>
      <c r="M34" s="28"/>
      <c r="N34" s="28"/>
      <c r="O34" s="28"/>
      <c r="P34" s="28"/>
      <c r="Q34" s="28"/>
      <c r="R34" s="28"/>
      <c r="S34" s="28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>
      <c r="A35" s="22"/>
      <c r="B35" s="23" t="s">
        <v>27</v>
      </c>
      <c r="C35" s="23" t="s">
        <v>98</v>
      </c>
      <c r="D35" s="23" t="s">
        <v>99</v>
      </c>
      <c r="E35" s="22"/>
      <c r="F35" s="24">
        <v>46051.0</v>
      </c>
      <c r="G35" s="25">
        <v>660000.0</v>
      </c>
      <c r="H35" s="25">
        <v>660000.0</v>
      </c>
      <c r="I35" s="25">
        <v>660000.0</v>
      </c>
      <c r="J35" s="25">
        <v>660000.0</v>
      </c>
      <c r="K35" s="28"/>
      <c r="L35" s="28"/>
      <c r="M35" s="28"/>
      <c r="N35" s="28"/>
      <c r="O35" s="28"/>
      <c r="P35" s="28"/>
      <c r="Q35" s="28"/>
      <c r="R35" s="28"/>
      <c r="S35" s="28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>
      <c r="A36" s="22"/>
      <c r="B36" s="23" t="s">
        <v>27</v>
      </c>
      <c r="C36" s="23" t="s">
        <v>100</v>
      </c>
      <c r="D36" s="23" t="s">
        <v>101</v>
      </c>
      <c r="E36" s="22"/>
      <c r="F36" s="24">
        <v>46052.0</v>
      </c>
      <c r="G36" s="25">
        <v>779765.0</v>
      </c>
      <c r="H36" s="25">
        <v>591018.0</v>
      </c>
      <c r="I36" s="25">
        <v>575868.0</v>
      </c>
      <c r="J36" s="25">
        <v>679578.0</v>
      </c>
      <c r="K36" s="28"/>
      <c r="L36" s="28"/>
      <c r="M36" s="28"/>
      <c r="N36" s="28"/>
      <c r="O36" s="28"/>
      <c r="P36" s="28"/>
      <c r="Q36" s="28"/>
      <c r="R36" s="28"/>
      <c r="S36" s="28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>
      <c r="A37" s="22"/>
      <c r="B37" s="23" t="s">
        <v>27</v>
      </c>
      <c r="C37" s="23" t="s">
        <v>102</v>
      </c>
      <c r="D37" s="23" t="s">
        <v>101</v>
      </c>
      <c r="E37" s="22"/>
      <c r="F37" s="24">
        <v>46052.0</v>
      </c>
      <c r="G37" s="25">
        <v>40600.0</v>
      </c>
      <c r="H37" s="25">
        <v>40632.0</v>
      </c>
      <c r="I37" s="25">
        <v>40800.0</v>
      </c>
      <c r="J37" s="25">
        <v>40576.0</v>
      </c>
      <c r="K37" s="28"/>
      <c r="L37" s="28"/>
      <c r="M37" s="28"/>
      <c r="N37" s="28"/>
      <c r="O37" s="28"/>
      <c r="P37" s="28"/>
      <c r="Q37" s="28"/>
      <c r="R37" s="28"/>
      <c r="S37" s="28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2"/>
      <c r="B38" s="23" t="s">
        <v>27</v>
      </c>
      <c r="C38" s="23" t="s">
        <v>103</v>
      </c>
      <c r="D38" s="23" t="s">
        <v>104</v>
      </c>
      <c r="E38" s="22"/>
      <c r="F38" s="24">
        <v>46052.0</v>
      </c>
      <c r="G38" s="25">
        <v>250.0</v>
      </c>
      <c r="H38" s="27"/>
      <c r="I38" s="27"/>
      <c r="J38" s="27"/>
      <c r="K38" s="28"/>
      <c r="L38" s="28"/>
      <c r="M38" s="28"/>
      <c r="N38" s="28"/>
      <c r="O38" s="28"/>
      <c r="P38" s="28"/>
      <c r="Q38" s="28"/>
      <c r="R38" s="28"/>
      <c r="S38" s="28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>
      <c r="A39" s="22"/>
      <c r="B39" s="23" t="s">
        <v>27</v>
      </c>
      <c r="C39" s="23" t="s">
        <v>105</v>
      </c>
      <c r="D39" s="23" t="s">
        <v>106</v>
      </c>
      <c r="E39" s="22"/>
      <c r="F39" s="24">
        <v>46053.0</v>
      </c>
      <c r="G39" s="25">
        <v>133108.0</v>
      </c>
      <c r="H39" s="25">
        <v>158448.0</v>
      </c>
      <c r="I39" s="25">
        <v>360937.0</v>
      </c>
      <c r="J39" s="25">
        <v>53582.0</v>
      </c>
      <c r="K39" s="28"/>
      <c r="L39" s="28"/>
      <c r="M39" s="28"/>
      <c r="N39" s="28"/>
      <c r="O39" s="28"/>
      <c r="P39" s="28"/>
      <c r="Q39" s="28"/>
      <c r="R39" s="28"/>
      <c r="S39" s="28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>
      <c r="A40" s="22"/>
      <c r="B40" s="23" t="s">
        <v>27</v>
      </c>
      <c r="C40" s="23" t="s">
        <v>107</v>
      </c>
      <c r="D40" s="23" t="s">
        <v>106</v>
      </c>
      <c r="E40" s="22"/>
      <c r="F40" s="24">
        <v>46081.0</v>
      </c>
      <c r="G40" s="27"/>
      <c r="H40" s="25">
        <v>9268.0</v>
      </c>
      <c r="I40" s="25">
        <v>11516.0</v>
      </c>
      <c r="J40" s="25">
        <v>5392.0</v>
      </c>
      <c r="K40" s="28"/>
      <c r="L40" s="28"/>
      <c r="M40" s="28"/>
      <c r="N40" s="28"/>
      <c r="O40" s="28"/>
      <c r="P40" s="28"/>
      <c r="Q40" s="28"/>
      <c r="R40" s="28"/>
      <c r="S40" s="28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>
      <c r="A41" s="22"/>
      <c r="B41" s="23" t="s">
        <v>27</v>
      </c>
      <c r="C41" s="23" t="s">
        <v>108</v>
      </c>
      <c r="D41" s="23" t="s">
        <v>109</v>
      </c>
      <c r="E41" s="22"/>
      <c r="F41" s="24">
        <v>46053.0</v>
      </c>
      <c r="G41" s="25">
        <v>66000.0</v>
      </c>
      <c r="H41" s="25">
        <v>66000.0</v>
      </c>
      <c r="I41" s="25">
        <v>66000.0</v>
      </c>
      <c r="J41" s="25">
        <v>66000.0</v>
      </c>
      <c r="K41" s="28"/>
      <c r="L41" s="28"/>
      <c r="M41" s="28"/>
      <c r="N41" s="28"/>
      <c r="O41" s="28"/>
      <c r="P41" s="28"/>
      <c r="Q41" s="28"/>
      <c r="R41" s="28"/>
      <c r="S41" s="28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>
      <c r="A42" s="22"/>
      <c r="B42" s="23" t="s">
        <v>27</v>
      </c>
      <c r="C42" s="23" t="s">
        <v>110</v>
      </c>
      <c r="D42" s="23" t="s">
        <v>111</v>
      </c>
      <c r="E42" s="22"/>
      <c r="F42" s="24">
        <v>46056.0</v>
      </c>
      <c r="G42" s="27"/>
      <c r="H42" s="25">
        <v>2206050.0</v>
      </c>
      <c r="I42" s="27"/>
      <c r="J42" s="27"/>
      <c r="K42" s="28"/>
      <c r="L42" s="28"/>
      <c r="M42" s="28"/>
      <c r="N42" s="28"/>
      <c r="O42" s="28"/>
      <c r="P42" s="28"/>
      <c r="Q42" s="28"/>
      <c r="R42" s="28"/>
      <c r="S42" s="28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>
      <c r="A43" s="22"/>
      <c r="B43" s="23" t="s">
        <v>27</v>
      </c>
      <c r="C43" s="23" t="s">
        <v>112</v>
      </c>
      <c r="D43" s="23" t="s">
        <v>113</v>
      </c>
      <c r="E43" s="22"/>
      <c r="F43" s="24">
        <v>46072.0</v>
      </c>
      <c r="G43" s="27"/>
      <c r="H43" s="25">
        <v>615400.0</v>
      </c>
      <c r="I43" s="25">
        <v>284350.0</v>
      </c>
      <c r="J43" s="25">
        <v>270350.0</v>
      </c>
      <c r="K43" s="28"/>
      <c r="L43" s="28"/>
      <c r="M43" s="28"/>
      <c r="N43" s="28"/>
      <c r="O43" s="28"/>
      <c r="P43" s="28"/>
      <c r="Q43" s="28"/>
      <c r="R43" s="28"/>
      <c r="S43" s="28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2"/>
      <c r="B44" s="23" t="s">
        <v>27</v>
      </c>
      <c r="C44" s="23" t="s">
        <v>112</v>
      </c>
      <c r="D44" s="23" t="s">
        <v>113</v>
      </c>
      <c r="E44" s="22"/>
      <c r="F44" s="24">
        <v>46097.0</v>
      </c>
      <c r="G44" s="27"/>
      <c r="H44" s="27"/>
      <c r="I44" s="29"/>
      <c r="J44" s="27"/>
      <c r="K44" s="28"/>
      <c r="L44" s="28"/>
      <c r="M44" s="28"/>
      <c r="N44" s="28"/>
      <c r="O44" s="28"/>
      <c r="P44" s="28"/>
      <c r="Q44" s="28"/>
      <c r="R44" s="28"/>
      <c r="S44" s="28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>
      <c r="A45" s="22"/>
      <c r="B45" s="23" t="s">
        <v>27</v>
      </c>
      <c r="C45" s="23" t="s">
        <v>114</v>
      </c>
      <c r="D45" s="23" t="s">
        <v>64</v>
      </c>
      <c r="E45" s="22"/>
      <c r="F45" s="24">
        <v>46058.0</v>
      </c>
      <c r="G45" s="27"/>
      <c r="H45" s="25">
        <v>70000.0</v>
      </c>
      <c r="I45" s="25">
        <v>70000.0</v>
      </c>
      <c r="J45" s="27"/>
      <c r="K45" s="28"/>
      <c r="L45" s="28"/>
      <c r="M45" s="28"/>
      <c r="N45" s="28"/>
      <c r="O45" s="28"/>
      <c r="P45" s="28"/>
      <c r="Q45" s="28"/>
      <c r="R45" s="28"/>
      <c r="S45" s="28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>
      <c r="A46" s="22"/>
      <c r="B46" s="23" t="s">
        <v>27</v>
      </c>
      <c r="C46" s="23" t="s">
        <v>115</v>
      </c>
      <c r="D46" s="23" t="s">
        <v>64</v>
      </c>
      <c r="E46" s="22"/>
      <c r="F46" s="24">
        <v>46059.0</v>
      </c>
      <c r="G46" s="27"/>
      <c r="H46" s="25">
        <v>323991.0</v>
      </c>
      <c r="I46" s="27"/>
      <c r="J46" s="27"/>
      <c r="K46" s="28"/>
      <c r="L46" s="28"/>
      <c r="M46" s="28"/>
      <c r="N46" s="28"/>
      <c r="O46" s="28"/>
      <c r="P46" s="28"/>
      <c r="Q46" s="28"/>
      <c r="R46" s="28"/>
      <c r="S46" s="28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>
      <c r="A47" s="22"/>
      <c r="B47" s="23" t="s">
        <v>27</v>
      </c>
      <c r="C47" s="23" t="s">
        <v>116</v>
      </c>
      <c r="D47" s="23" t="s">
        <v>54</v>
      </c>
      <c r="E47" s="22"/>
      <c r="F47" s="24">
        <v>46076.0</v>
      </c>
      <c r="G47" s="27"/>
      <c r="H47" s="25">
        <v>430000.0</v>
      </c>
      <c r="I47" s="27"/>
      <c r="J47" s="27"/>
      <c r="K47" s="28"/>
      <c r="L47" s="28"/>
      <c r="M47" s="28"/>
      <c r="N47" s="28"/>
      <c r="O47" s="28"/>
      <c r="P47" s="28"/>
      <c r="Q47" s="28"/>
      <c r="R47" s="28"/>
      <c r="S47" s="28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>
      <c r="A48" s="22"/>
      <c r="B48" s="23" t="s">
        <v>27</v>
      </c>
      <c r="C48" s="23" t="s">
        <v>55</v>
      </c>
      <c r="D48" s="23" t="s">
        <v>117</v>
      </c>
      <c r="E48" s="22"/>
      <c r="F48" s="24">
        <v>46084.0</v>
      </c>
      <c r="G48" s="27"/>
      <c r="H48" s="27"/>
      <c r="I48" s="25">
        <f>53083</f>
        <v>53083</v>
      </c>
      <c r="J48" s="27"/>
      <c r="K48" s="28"/>
      <c r="L48" s="28"/>
      <c r="M48" s="28"/>
      <c r="N48" s="28"/>
      <c r="O48" s="28"/>
      <c r="P48" s="28"/>
      <c r="Q48" s="28"/>
      <c r="R48" s="28"/>
      <c r="S48" s="28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>
      <c r="A49" s="22"/>
      <c r="B49" s="23" t="s">
        <v>27</v>
      </c>
      <c r="C49" s="23" t="s">
        <v>118</v>
      </c>
      <c r="D49" s="23" t="s">
        <v>117</v>
      </c>
      <c r="E49" s="22"/>
      <c r="F49" s="24">
        <v>46113.0</v>
      </c>
      <c r="G49" s="27"/>
      <c r="H49" s="27"/>
      <c r="I49" s="27"/>
      <c r="J49" s="25">
        <v>414028.0</v>
      </c>
      <c r="K49" s="28"/>
      <c r="L49" s="28"/>
      <c r="M49" s="28"/>
      <c r="N49" s="28"/>
      <c r="O49" s="28"/>
      <c r="P49" s="28"/>
      <c r="Q49" s="28"/>
      <c r="R49" s="28"/>
      <c r="S49" s="28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2"/>
      <c r="B50" s="23" t="s">
        <v>27</v>
      </c>
      <c r="C50" s="23" t="s">
        <v>119</v>
      </c>
      <c r="D50" s="23" t="s">
        <v>120</v>
      </c>
      <c r="E50" s="22"/>
      <c r="F50" s="24">
        <v>46099.0</v>
      </c>
      <c r="G50" s="27"/>
      <c r="H50" s="27"/>
      <c r="I50" s="25">
        <v>11728.0</v>
      </c>
      <c r="J50" s="27"/>
      <c r="K50" s="28"/>
      <c r="L50" s="28"/>
      <c r="M50" s="28"/>
      <c r="N50" s="28"/>
      <c r="O50" s="28"/>
      <c r="P50" s="28"/>
      <c r="Q50" s="28"/>
      <c r="R50" s="28"/>
      <c r="S50" s="28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>
      <c r="A51" s="22"/>
      <c r="B51" s="23" t="s">
        <v>27</v>
      </c>
      <c r="C51" s="23" t="s">
        <v>55</v>
      </c>
      <c r="D51" s="23" t="s">
        <v>70</v>
      </c>
      <c r="E51" s="22"/>
      <c r="F51" s="24">
        <v>46100.0</v>
      </c>
      <c r="G51" s="27"/>
      <c r="H51" s="27"/>
      <c r="I51" s="25">
        <v>14548.0</v>
      </c>
      <c r="J51" s="27"/>
      <c r="K51" s="28"/>
      <c r="L51" s="28"/>
      <c r="M51" s="28"/>
      <c r="N51" s="28"/>
      <c r="O51" s="28"/>
      <c r="P51" s="28"/>
      <c r="Q51" s="28"/>
      <c r="R51" s="28"/>
      <c r="S51" s="28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>
      <c r="A52" s="22"/>
      <c r="B52" s="23" t="s">
        <v>27</v>
      </c>
      <c r="C52" s="23" t="s">
        <v>121</v>
      </c>
      <c r="D52" s="23" t="s">
        <v>122</v>
      </c>
      <c r="E52" s="22"/>
      <c r="F52" s="24">
        <v>46107.0</v>
      </c>
      <c r="G52" s="27"/>
      <c r="H52" s="27"/>
      <c r="I52" s="25">
        <v>80000.0</v>
      </c>
      <c r="J52" s="26">
        <v>480000.0</v>
      </c>
      <c r="K52" s="28"/>
      <c r="L52" s="28"/>
      <c r="M52" s="28"/>
      <c r="N52" s="28"/>
      <c r="O52" s="28"/>
      <c r="P52" s="28"/>
      <c r="Q52" s="28"/>
      <c r="R52" s="28"/>
      <c r="S52" s="28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>
      <c r="A53" s="22"/>
      <c r="B53" s="23" t="s">
        <v>27</v>
      </c>
      <c r="C53" s="23" t="s">
        <v>123</v>
      </c>
      <c r="D53" s="23" t="s">
        <v>124</v>
      </c>
      <c r="E53" s="22"/>
      <c r="F53" s="24">
        <v>46132.0</v>
      </c>
      <c r="G53" s="27"/>
      <c r="H53" s="27"/>
      <c r="I53" s="27"/>
      <c r="J53" s="25">
        <v>6020000.0</v>
      </c>
      <c r="K53" s="28"/>
      <c r="L53" s="28"/>
      <c r="M53" s="28"/>
      <c r="N53" s="28"/>
      <c r="O53" s="28"/>
      <c r="P53" s="28"/>
      <c r="Q53" s="28"/>
      <c r="R53" s="28"/>
      <c r="S53" s="28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>
      <c r="A54" s="22"/>
      <c r="B54" s="23" t="s">
        <v>27</v>
      </c>
      <c r="C54" s="23" t="s">
        <v>125</v>
      </c>
      <c r="D54" s="23" t="s">
        <v>126</v>
      </c>
      <c r="E54" s="22"/>
      <c r="F54" s="24">
        <v>46107.0</v>
      </c>
      <c r="G54" s="27"/>
      <c r="H54" s="27"/>
      <c r="I54" s="25">
        <v>230000.0</v>
      </c>
      <c r="J54" s="27"/>
      <c r="K54" s="28"/>
      <c r="L54" s="28"/>
      <c r="M54" s="28"/>
      <c r="N54" s="28"/>
      <c r="O54" s="28"/>
      <c r="P54" s="28"/>
      <c r="Q54" s="28"/>
      <c r="R54" s="28"/>
      <c r="S54" s="28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>
      <c r="A55" s="22"/>
      <c r="B55" s="23" t="s">
        <v>27</v>
      </c>
      <c r="C55" s="23" t="s">
        <v>127</v>
      </c>
      <c r="D55" s="23" t="s">
        <v>128</v>
      </c>
      <c r="E55" s="22"/>
      <c r="F55" s="24">
        <v>46113.0</v>
      </c>
      <c r="G55" s="27"/>
      <c r="H55" s="27"/>
      <c r="I55" s="27"/>
      <c r="J55" s="25">
        <v>5290.0</v>
      </c>
      <c r="K55" s="28"/>
      <c r="L55" s="28"/>
      <c r="M55" s="28"/>
      <c r="N55" s="28"/>
      <c r="O55" s="28"/>
      <c r="P55" s="28"/>
      <c r="Q55" s="28"/>
      <c r="R55" s="28"/>
      <c r="S55" s="28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>
      <c r="A56" s="22"/>
      <c r="B56" s="23" t="s">
        <v>27</v>
      </c>
      <c r="C56" s="23" t="s">
        <v>129</v>
      </c>
      <c r="D56" s="23" t="s">
        <v>130</v>
      </c>
      <c r="E56" s="22"/>
      <c r="F56" s="24">
        <v>46113.0</v>
      </c>
      <c r="G56" s="27"/>
      <c r="H56" s="27"/>
      <c r="I56" s="27"/>
      <c r="J56" s="25">
        <v>540000.0</v>
      </c>
      <c r="K56" s="28"/>
      <c r="L56" s="28"/>
      <c r="M56" s="28"/>
      <c r="N56" s="28"/>
      <c r="O56" s="28"/>
      <c r="P56" s="28"/>
      <c r="Q56" s="28"/>
      <c r="R56" s="28"/>
      <c r="S56" s="28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>
      <c r="A57" s="22"/>
      <c r="B57" s="23" t="s">
        <v>27</v>
      </c>
      <c r="C57" s="23" t="s">
        <v>131</v>
      </c>
      <c r="D57" s="23" t="s">
        <v>132</v>
      </c>
      <c r="E57" s="22"/>
      <c r="F57" s="24">
        <v>46114.0</v>
      </c>
      <c r="G57" s="27"/>
      <c r="H57" s="27"/>
      <c r="I57" s="27"/>
      <c r="J57" s="25">
        <v>15296.0</v>
      </c>
      <c r="K57" s="28"/>
      <c r="L57" s="28"/>
      <c r="M57" s="28"/>
      <c r="N57" s="28"/>
      <c r="O57" s="28"/>
      <c r="P57" s="28"/>
      <c r="Q57" s="28"/>
      <c r="R57" s="28"/>
      <c r="S57" s="28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>
      <c r="A58" s="22"/>
      <c r="B58" s="23" t="s">
        <v>27</v>
      </c>
      <c r="C58" s="23" t="s">
        <v>133</v>
      </c>
      <c r="D58" s="23" t="s">
        <v>134</v>
      </c>
      <c r="E58" s="22"/>
      <c r="F58" s="24">
        <v>46114.0</v>
      </c>
      <c r="G58" s="27"/>
      <c r="H58" s="27"/>
      <c r="I58" s="27"/>
      <c r="J58" s="25">
        <v>5000.0</v>
      </c>
      <c r="K58" s="28"/>
      <c r="L58" s="28"/>
      <c r="M58" s="28"/>
      <c r="N58" s="28"/>
      <c r="O58" s="28"/>
      <c r="P58" s="28"/>
      <c r="Q58" s="28"/>
      <c r="R58" s="28"/>
      <c r="S58" s="28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>
      <c r="A59" s="22"/>
      <c r="B59" s="23" t="s">
        <v>27</v>
      </c>
      <c r="C59" s="23" t="s">
        <v>135</v>
      </c>
      <c r="D59" s="23" t="s">
        <v>136</v>
      </c>
      <c r="E59" s="22"/>
      <c r="F59" s="24">
        <v>46114.0</v>
      </c>
      <c r="G59" s="27"/>
      <c r="H59" s="27"/>
      <c r="I59" s="27"/>
      <c r="J59" s="25">
        <v>108000.0</v>
      </c>
      <c r="K59" s="28"/>
      <c r="L59" s="28"/>
      <c r="M59" s="28"/>
      <c r="N59" s="28"/>
      <c r="O59" s="28"/>
      <c r="P59" s="28"/>
      <c r="Q59" s="28"/>
      <c r="R59" s="28"/>
      <c r="S59" s="28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>
      <c r="A60" s="22"/>
      <c r="B60" s="23" t="s">
        <v>27</v>
      </c>
      <c r="C60" s="23" t="s">
        <v>137</v>
      </c>
      <c r="D60" s="23" t="s">
        <v>138</v>
      </c>
      <c r="E60" s="22"/>
      <c r="F60" s="24">
        <v>46115.0</v>
      </c>
      <c r="G60" s="27"/>
      <c r="H60" s="27"/>
      <c r="I60" s="27"/>
      <c r="J60" s="25">
        <v>169995.0</v>
      </c>
      <c r="K60" s="28"/>
      <c r="L60" s="28"/>
      <c r="M60" s="28"/>
      <c r="N60" s="28"/>
      <c r="O60" s="28"/>
      <c r="P60" s="28"/>
      <c r="Q60" s="28"/>
      <c r="R60" s="28"/>
      <c r="S60" s="28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>
      <c r="A61" s="22"/>
      <c r="B61" s="23" t="s">
        <v>27</v>
      </c>
      <c r="C61" s="23" t="s">
        <v>139</v>
      </c>
      <c r="D61" s="23" t="s">
        <v>140</v>
      </c>
      <c r="E61" s="22"/>
      <c r="F61" s="24">
        <v>46125.0</v>
      </c>
      <c r="G61" s="27"/>
      <c r="H61" s="27"/>
      <c r="I61" s="27"/>
      <c r="J61" s="25">
        <v>30243.0</v>
      </c>
      <c r="K61" s="28"/>
      <c r="L61" s="28"/>
      <c r="M61" s="28"/>
      <c r="N61" s="28"/>
      <c r="O61" s="28"/>
      <c r="P61" s="28"/>
      <c r="Q61" s="28"/>
      <c r="R61" s="28"/>
      <c r="S61" s="28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>
      <c r="A62" s="22"/>
      <c r="B62" s="23" t="s">
        <v>27</v>
      </c>
      <c r="C62" s="23" t="s">
        <v>141</v>
      </c>
      <c r="D62" s="23" t="s">
        <v>138</v>
      </c>
      <c r="E62" s="22"/>
      <c r="F62" s="24">
        <v>46127.0</v>
      </c>
      <c r="G62" s="27"/>
      <c r="H62" s="27"/>
      <c r="I62" s="27"/>
      <c r="J62" s="25">
        <v>292013.0</v>
      </c>
      <c r="K62" s="28"/>
      <c r="L62" s="28"/>
      <c r="M62" s="28"/>
      <c r="N62" s="28"/>
      <c r="O62" s="28"/>
      <c r="P62" s="28"/>
      <c r="Q62" s="28"/>
      <c r="R62" s="28"/>
      <c r="S62" s="28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>
      <c r="A63" s="22"/>
      <c r="B63" s="23" t="s">
        <v>27</v>
      </c>
      <c r="C63" s="23" t="s">
        <v>142</v>
      </c>
      <c r="D63" s="23" t="s">
        <v>143</v>
      </c>
      <c r="E63" s="22"/>
      <c r="F63" s="24">
        <v>46132.0</v>
      </c>
      <c r="G63" s="27"/>
      <c r="H63" s="27"/>
      <c r="I63" s="27"/>
      <c r="J63" s="25">
        <v>37317.0</v>
      </c>
      <c r="K63" s="28"/>
      <c r="L63" s="28"/>
      <c r="M63" s="28"/>
      <c r="N63" s="28"/>
      <c r="O63" s="28"/>
      <c r="P63" s="28"/>
      <c r="Q63" s="28"/>
      <c r="R63" s="28"/>
      <c r="S63" s="28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>
      <c r="A64" s="22"/>
      <c r="B64" s="23" t="s">
        <v>27</v>
      </c>
      <c r="C64" s="23" t="s">
        <v>144</v>
      </c>
      <c r="D64" s="23" t="s">
        <v>138</v>
      </c>
      <c r="E64" s="22"/>
      <c r="F64" s="24">
        <v>46132.0</v>
      </c>
      <c r="G64" s="27"/>
      <c r="H64" s="27"/>
      <c r="I64" s="27"/>
      <c r="J64" s="25">
        <v>150453.0</v>
      </c>
      <c r="K64" s="28"/>
      <c r="L64" s="28"/>
      <c r="M64" s="28"/>
      <c r="N64" s="28"/>
      <c r="O64" s="28"/>
      <c r="P64" s="28"/>
      <c r="Q64" s="28"/>
      <c r="R64" s="28"/>
      <c r="S64" s="28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>
      <c r="A65" s="22"/>
      <c r="B65" s="23" t="s">
        <v>27</v>
      </c>
      <c r="C65" s="23" t="s">
        <v>145</v>
      </c>
      <c r="D65" s="23" t="s">
        <v>145</v>
      </c>
      <c r="E65" s="22"/>
      <c r="F65" s="24">
        <v>46118.0</v>
      </c>
      <c r="G65" s="27"/>
      <c r="H65" s="27"/>
      <c r="I65" s="27"/>
      <c r="J65" s="25">
        <v>154187.0</v>
      </c>
      <c r="K65" s="28"/>
      <c r="L65" s="28"/>
      <c r="M65" s="28"/>
      <c r="N65" s="28"/>
      <c r="O65" s="28"/>
      <c r="P65" s="28"/>
      <c r="Q65" s="28"/>
      <c r="R65" s="28"/>
      <c r="S65" s="28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>
      <c r="A66" s="22"/>
      <c r="B66" s="23" t="s">
        <v>27</v>
      </c>
      <c r="C66" s="23" t="s">
        <v>146</v>
      </c>
      <c r="D66" s="23" t="s">
        <v>140</v>
      </c>
      <c r="E66" s="22"/>
      <c r="F66" s="24">
        <v>46125.0</v>
      </c>
      <c r="G66" s="27"/>
      <c r="H66" s="27"/>
      <c r="I66" s="27"/>
      <c r="J66" s="25">
        <v>30243.0</v>
      </c>
      <c r="K66" s="28"/>
      <c r="L66" s="28"/>
      <c r="M66" s="28"/>
      <c r="N66" s="28"/>
      <c r="O66" s="28"/>
      <c r="P66" s="28"/>
      <c r="Q66" s="28"/>
      <c r="R66" s="28"/>
      <c r="S66" s="28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>
      <c r="A67" s="22"/>
      <c r="B67" s="23" t="s">
        <v>27</v>
      </c>
      <c r="C67" s="23" t="s">
        <v>147</v>
      </c>
      <c r="D67" s="23" t="s">
        <v>138</v>
      </c>
      <c r="E67" s="22"/>
      <c r="F67" s="24">
        <v>46125.0</v>
      </c>
      <c r="G67" s="27"/>
      <c r="H67" s="27"/>
      <c r="I67" s="27"/>
      <c r="J67" s="25">
        <v>166344.0</v>
      </c>
      <c r="K67" s="28"/>
      <c r="L67" s="28"/>
      <c r="M67" s="28"/>
      <c r="N67" s="28"/>
      <c r="O67" s="28"/>
      <c r="P67" s="28"/>
      <c r="Q67" s="28"/>
      <c r="R67" s="28"/>
      <c r="S67" s="28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>
      <c r="A68" s="22"/>
      <c r="B68" s="23" t="s">
        <v>27</v>
      </c>
      <c r="C68" s="23" t="s">
        <v>148</v>
      </c>
      <c r="D68" s="23" t="s">
        <v>149</v>
      </c>
      <c r="E68" s="22"/>
      <c r="F68" s="24">
        <v>46134.0</v>
      </c>
      <c r="G68" s="27"/>
      <c r="H68" s="27"/>
      <c r="I68" s="27"/>
      <c r="J68" s="25">
        <v>29946.0</v>
      </c>
      <c r="K68" s="28"/>
      <c r="L68" s="28"/>
      <c r="M68" s="28"/>
      <c r="N68" s="28"/>
      <c r="O68" s="28"/>
      <c r="P68" s="28"/>
      <c r="Q68" s="28"/>
      <c r="R68" s="28"/>
      <c r="S68" s="28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>
      <c r="A69" s="22"/>
      <c r="B69" s="23" t="s">
        <v>27</v>
      </c>
      <c r="C69" s="23" t="s">
        <v>150</v>
      </c>
      <c r="D69" s="23" t="s">
        <v>151</v>
      </c>
      <c r="E69" s="22"/>
      <c r="F69" s="24">
        <v>46137.0</v>
      </c>
      <c r="G69" s="27"/>
      <c r="H69" s="27"/>
      <c r="I69" s="27"/>
      <c r="J69" s="25">
        <v>299660.0</v>
      </c>
      <c r="K69" s="28"/>
      <c r="L69" s="28"/>
      <c r="M69" s="28"/>
      <c r="N69" s="28"/>
      <c r="O69" s="28"/>
      <c r="P69" s="28"/>
      <c r="Q69" s="28"/>
      <c r="R69" s="28"/>
      <c r="S69" s="28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>
      <c r="A70" s="22"/>
      <c r="B70" s="23" t="s">
        <v>27</v>
      </c>
      <c r="C70" s="23" t="s">
        <v>152</v>
      </c>
      <c r="D70" s="23" t="s">
        <v>138</v>
      </c>
      <c r="E70" s="22"/>
      <c r="F70" s="24">
        <v>46139.0</v>
      </c>
      <c r="G70" s="27"/>
      <c r="H70" s="27"/>
      <c r="I70" s="27"/>
      <c r="J70" s="25">
        <v>165788.0</v>
      </c>
      <c r="K70" s="28"/>
      <c r="L70" s="28"/>
      <c r="M70" s="28"/>
      <c r="N70" s="28"/>
      <c r="O70" s="28"/>
      <c r="P70" s="28"/>
      <c r="Q70" s="28"/>
      <c r="R70" s="28"/>
      <c r="S70" s="28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>
      <c r="A71" s="22"/>
      <c r="B71" s="23" t="s">
        <v>27</v>
      </c>
      <c r="C71" s="23" t="s">
        <v>55</v>
      </c>
      <c r="D71" s="23" t="s">
        <v>136</v>
      </c>
      <c r="E71" s="22"/>
      <c r="F71" s="24">
        <v>46118.0</v>
      </c>
      <c r="G71" s="27"/>
      <c r="H71" s="27"/>
      <c r="I71" s="27"/>
      <c r="J71" s="25">
        <v>4454.0</v>
      </c>
      <c r="K71" s="28"/>
      <c r="L71" s="28"/>
      <c r="M71" s="28"/>
      <c r="N71" s="28"/>
      <c r="O71" s="28"/>
      <c r="P71" s="28"/>
      <c r="Q71" s="28"/>
      <c r="R71" s="28"/>
      <c r="S71" s="28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>
      <c r="A72" s="22"/>
      <c r="B72" s="23" t="s">
        <v>27</v>
      </c>
      <c r="C72" s="23" t="s">
        <v>153</v>
      </c>
      <c r="D72" s="23" t="s">
        <v>82</v>
      </c>
      <c r="E72" s="22"/>
      <c r="F72" s="24">
        <v>46120.0</v>
      </c>
      <c r="G72" s="27"/>
      <c r="H72" s="27"/>
      <c r="I72" s="27"/>
      <c r="J72" s="25">
        <v>10000.0</v>
      </c>
      <c r="K72" s="28"/>
      <c r="L72" s="28"/>
      <c r="M72" s="28"/>
      <c r="N72" s="28"/>
      <c r="O72" s="28"/>
      <c r="P72" s="28"/>
      <c r="Q72" s="28"/>
      <c r="R72" s="28"/>
      <c r="S72" s="28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>
      <c r="A73" s="22"/>
      <c r="B73" s="23" t="s">
        <v>27</v>
      </c>
      <c r="C73" s="23" t="s">
        <v>154</v>
      </c>
      <c r="D73" s="23" t="s">
        <v>155</v>
      </c>
      <c r="E73" s="22"/>
      <c r="F73" s="24">
        <v>46122.0</v>
      </c>
      <c r="G73" s="27"/>
      <c r="H73" s="27"/>
      <c r="I73" s="27"/>
      <c r="J73" s="25">
        <v>8299.0</v>
      </c>
      <c r="K73" s="28"/>
      <c r="L73" s="28"/>
      <c r="M73" s="28"/>
      <c r="N73" s="28"/>
      <c r="O73" s="28"/>
      <c r="P73" s="28"/>
      <c r="Q73" s="28"/>
      <c r="R73" s="28"/>
      <c r="S73" s="28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>
      <c r="A74" s="22"/>
      <c r="B74" s="23" t="s">
        <v>27</v>
      </c>
      <c r="C74" s="23" t="s">
        <v>156</v>
      </c>
      <c r="D74" s="23" t="s">
        <v>157</v>
      </c>
      <c r="E74" s="22"/>
      <c r="F74" s="24">
        <v>46133.0</v>
      </c>
      <c r="G74" s="27"/>
      <c r="H74" s="27"/>
      <c r="I74" s="27"/>
      <c r="J74" s="25">
        <v>5456.0</v>
      </c>
      <c r="K74" s="28"/>
      <c r="L74" s="28"/>
      <c r="M74" s="28"/>
      <c r="N74" s="28"/>
      <c r="O74" s="28"/>
      <c r="P74" s="28"/>
      <c r="Q74" s="28"/>
      <c r="R74" s="28"/>
      <c r="S74" s="28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>
      <c r="A75" s="22"/>
      <c r="B75" s="23" t="s">
        <v>27</v>
      </c>
      <c r="C75" s="23" t="s">
        <v>158</v>
      </c>
      <c r="D75" s="23" t="s">
        <v>155</v>
      </c>
      <c r="E75" s="22"/>
      <c r="F75" s="24">
        <v>46136.0</v>
      </c>
      <c r="G75" s="27"/>
      <c r="H75" s="27"/>
      <c r="I75" s="27"/>
      <c r="J75" s="25">
        <v>37779.0</v>
      </c>
      <c r="K75" s="28"/>
      <c r="L75" s="28"/>
      <c r="M75" s="28"/>
      <c r="N75" s="28"/>
      <c r="O75" s="28"/>
      <c r="P75" s="28"/>
      <c r="Q75" s="28"/>
      <c r="R75" s="28"/>
      <c r="S75" s="28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>
      <c r="A76" s="22"/>
      <c r="B76" s="23" t="s">
        <v>27</v>
      </c>
      <c r="C76" s="23" t="s">
        <v>159</v>
      </c>
      <c r="D76" s="23" t="s">
        <v>160</v>
      </c>
      <c r="E76" s="22"/>
      <c r="F76" s="24">
        <v>46129.0</v>
      </c>
      <c r="G76" s="27"/>
      <c r="H76" s="27"/>
      <c r="I76" s="27"/>
      <c r="J76" s="25">
        <v>970000.0</v>
      </c>
      <c r="K76" s="28"/>
      <c r="L76" s="28"/>
      <c r="M76" s="28"/>
      <c r="N76" s="28"/>
      <c r="O76" s="28"/>
      <c r="P76" s="28"/>
      <c r="Q76" s="28"/>
      <c r="R76" s="28"/>
      <c r="S76" s="28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>
      <c r="A77" s="22"/>
      <c r="B77" s="23" t="s">
        <v>27</v>
      </c>
      <c r="C77" s="23" t="s">
        <v>71</v>
      </c>
      <c r="D77" s="30" t="s">
        <v>161</v>
      </c>
      <c r="E77" s="22"/>
      <c r="F77" s="24">
        <v>46117.0</v>
      </c>
      <c r="G77" s="27"/>
      <c r="H77" s="27"/>
      <c r="I77" s="27"/>
      <c r="J77" s="25">
        <v>274028.0</v>
      </c>
      <c r="K77" s="28"/>
      <c r="L77" s="28"/>
      <c r="M77" s="28"/>
      <c r="N77" s="28"/>
      <c r="O77" s="28"/>
      <c r="P77" s="28"/>
      <c r="Q77" s="28"/>
      <c r="R77" s="28"/>
      <c r="S77" s="28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>
      <c r="A78" s="22"/>
      <c r="B78" s="23" t="s">
        <v>27</v>
      </c>
      <c r="C78" s="23" t="s">
        <v>162</v>
      </c>
      <c r="D78" s="23" t="s">
        <v>106</v>
      </c>
      <c r="E78" s="22"/>
      <c r="F78" s="24">
        <v>46139.0</v>
      </c>
      <c r="G78" s="27"/>
      <c r="H78" s="27"/>
      <c r="I78" s="27"/>
      <c r="J78" s="25">
        <v>540000.0</v>
      </c>
      <c r="K78" s="28"/>
      <c r="L78" s="28"/>
      <c r="M78" s="28"/>
      <c r="N78" s="28"/>
      <c r="O78" s="28"/>
      <c r="P78" s="28"/>
      <c r="Q78" s="28"/>
      <c r="R78" s="28"/>
      <c r="S78" s="28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>
      <c r="A79" s="22"/>
      <c r="B79" s="23" t="s">
        <v>27</v>
      </c>
      <c r="C79" s="23" t="s">
        <v>163</v>
      </c>
      <c r="D79" s="23" t="s">
        <v>164</v>
      </c>
      <c r="E79" s="22"/>
      <c r="F79" s="24">
        <v>46125.0</v>
      </c>
      <c r="G79" s="27"/>
      <c r="H79" s="27"/>
      <c r="I79" s="27"/>
      <c r="J79" s="25">
        <v>364.0</v>
      </c>
      <c r="K79" s="28"/>
      <c r="L79" s="28"/>
      <c r="M79" s="28"/>
      <c r="N79" s="28"/>
      <c r="O79" s="28"/>
      <c r="P79" s="28"/>
      <c r="Q79" s="28"/>
      <c r="R79" s="28"/>
      <c r="S79" s="28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>
      <c r="A80" s="22"/>
      <c r="B80" s="23" t="s">
        <v>27</v>
      </c>
      <c r="C80" s="23" t="s">
        <v>165</v>
      </c>
      <c r="D80" s="23" t="s">
        <v>166</v>
      </c>
      <c r="E80" s="22"/>
      <c r="F80" s="24">
        <v>46139.0</v>
      </c>
      <c r="G80" s="27"/>
      <c r="H80" s="27"/>
      <c r="I80" s="27"/>
      <c r="J80" s="25">
        <v>96639.0</v>
      </c>
      <c r="K80" s="28"/>
      <c r="L80" s="28"/>
      <c r="M80" s="28"/>
      <c r="N80" s="28"/>
      <c r="O80" s="28"/>
      <c r="P80" s="28"/>
      <c r="Q80" s="28"/>
      <c r="R80" s="28"/>
      <c r="S80" s="28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>
      <c r="A81" s="22"/>
      <c r="B81" s="23" t="s">
        <v>27</v>
      </c>
      <c r="C81" s="23" t="s">
        <v>167</v>
      </c>
      <c r="D81" s="23" t="s">
        <v>168</v>
      </c>
      <c r="E81" s="22"/>
      <c r="F81" s="24">
        <v>46140.0</v>
      </c>
      <c r="G81" s="27"/>
      <c r="H81" s="27"/>
      <c r="I81" s="27"/>
      <c r="J81" s="25">
        <v>300000.0</v>
      </c>
      <c r="K81" s="28"/>
      <c r="L81" s="28"/>
      <c r="M81" s="28"/>
      <c r="N81" s="28"/>
      <c r="O81" s="28"/>
      <c r="P81" s="28"/>
      <c r="Q81" s="28"/>
      <c r="R81" s="28"/>
      <c r="S81" s="28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>
      <c r="A82" s="22"/>
      <c r="B82" s="23" t="s">
        <v>27</v>
      </c>
      <c r="C82" s="23" t="s">
        <v>169</v>
      </c>
      <c r="D82" s="23" t="s">
        <v>170</v>
      </c>
      <c r="E82" s="22"/>
      <c r="F82" s="24">
        <v>46141.0</v>
      </c>
      <c r="G82" s="27"/>
      <c r="H82" s="27"/>
      <c r="I82" s="27"/>
      <c r="J82" s="25">
        <v>243305.0</v>
      </c>
      <c r="K82" s="28"/>
      <c r="L82" s="28"/>
      <c r="M82" s="28"/>
      <c r="N82" s="28"/>
      <c r="O82" s="28"/>
      <c r="P82" s="28"/>
      <c r="Q82" s="28"/>
      <c r="R82" s="28"/>
      <c r="S82" s="28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>
      <c r="A83" s="22"/>
      <c r="B83" s="23" t="s">
        <v>27</v>
      </c>
      <c r="C83" s="23" t="s">
        <v>171</v>
      </c>
      <c r="D83" s="23" t="s">
        <v>106</v>
      </c>
      <c r="E83" s="22"/>
      <c r="F83" s="24">
        <v>46142.0</v>
      </c>
      <c r="G83" s="27"/>
      <c r="H83" s="27"/>
      <c r="I83" s="27"/>
      <c r="J83" s="25">
        <v>132500.0</v>
      </c>
      <c r="K83" s="28"/>
      <c r="L83" s="28"/>
      <c r="M83" s="28"/>
      <c r="N83" s="28"/>
      <c r="O83" s="28"/>
      <c r="P83" s="28"/>
      <c r="Q83" s="28"/>
      <c r="R83" s="28"/>
      <c r="S83" s="28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>
      <c r="B84" s="4" t="s">
        <v>21</v>
      </c>
      <c r="G84" s="31">
        <f t="shared" ref="G84:J84" si="1">sum(G2:G83)</f>
        <v>27140784</v>
      </c>
      <c r="H84" s="31">
        <f t="shared" si="1"/>
        <v>6495494</v>
      </c>
      <c r="I84" s="31">
        <f t="shared" si="1"/>
        <v>8692153</v>
      </c>
      <c r="J84" s="31">
        <f t="shared" si="1"/>
        <v>14803057</v>
      </c>
      <c r="K84" s="32"/>
      <c r="L84" s="32"/>
      <c r="M84" s="32"/>
      <c r="N84" s="32"/>
      <c r="O84" s="32"/>
      <c r="P84" s="32"/>
      <c r="Q84" s="32"/>
      <c r="R84" s="32"/>
      <c r="S84" s="3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</sheetData>
  <hyperlinks>
    <hyperlink r:id="rId1" ref="D7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14.43"/>
    <col customWidth="1" min="3" max="3" width="53.86"/>
    <col customWidth="1" min="4" max="4" width="29.57"/>
    <col customWidth="1" min="6" max="6" width="17.29"/>
  </cols>
  <sheetData>
    <row r="1">
      <c r="A1" s="1"/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41</v>
      </c>
      <c r="L1" s="3" t="s">
        <v>42</v>
      </c>
      <c r="M1" s="3" t="s">
        <v>43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21</v>
      </c>
      <c r="T1" s="3" t="s">
        <v>22</v>
      </c>
    </row>
    <row r="2">
      <c r="A2" s="22"/>
      <c r="B2" s="33" t="s">
        <v>30</v>
      </c>
      <c r="C2" s="33" t="s">
        <v>172</v>
      </c>
      <c r="D2" s="33" t="s">
        <v>126</v>
      </c>
      <c r="E2" s="34" t="s">
        <v>173</v>
      </c>
      <c r="F2" s="24">
        <v>46023.0</v>
      </c>
      <c r="G2" s="25">
        <v>1200000.0</v>
      </c>
      <c r="H2" s="25">
        <v>1200000.0</v>
      </c>
      <c r="I2" s="25">
        <v>1200000.0</v>
      </c>
      <c r="J2" s="25">
        <v>1200000.0</v>
      </c>
      <c r="K2" s="22"/>
      <c r="L2" s="22"/>
      <c r="M2" s="22"/>
      <c r="S2" s="9"/>
      <c r="T2" s="17"/>
    </row>
    <row r="3">
      <c r="A3" s="22"/>
      <c r="B3" s="33" t="s">
        <v>30</v>
      </c>
      <c r="C3" s="33" t="s">
        <v>174</v>
      </c>
      <c r="D3" s="33" t="s">
        <v>175</v>
      </c>
      <c r="E3" s="34" t="s">
        <v>176</v>
      </c>
      <c r="F3" s="24">
        <v>46023.0</v>
      </c>
      <c r="G3" s="25">
        <v>460000.0</v>
      </c>
      <c r="H3" s="25">
        <v>460000.0</v>
      </c>
      <c r="I3" s="25">
        <v>460000.0</v>
      </c>
      <c r="J3" s="25">
        <v>460000.0</v>
      </c>
      <c r="K3" s="22"/>
      <c r="L3" s="22"/>
      <c r="M3" s="22"/>
      <c r="S3" s="9"/>
      <c r="T3" s="17"/>
    </row>
    <row r="4">
      <c r="A4" s="22"/>
      <c r="B4" s="33" t="s">
        <v>30</v>
      </c>
      <c r="C4" s="33" t="s">
        <v>177</v>
      </c>
      <c r="D4" s="33" t="s">
        <v>178</v>
      </c>
      <c r="E4" s="34" t="s">
        <v>176</v>
      </c>
      <c r="F4" s="24">
        <v>46024.0</v>
      </c>
      <c r="G4" s="25">
        <v>367500.0</v>
      </c>
      <c r="H4" s="25">
        <v>367500.0</v>
      </c>
      <c r="I4" s="25">
        <v>367500.0</v>
      </c>
      <c r="J4" s="25">
        <v>367500.0</v>
      </c>
      <c r="K4" s="22"/>
      <c r="L4" s="22"/>
      <c r="M4" s="22"/>
      <c r="S4" s="9"/>
      <c r="T4" s="17"/>
    </row>
    <row r="5">
      <c r="A5" s="22"/>
      <c r="B5" s="33" t="s">
        <v>30</v>
      </c>
      <c r="C5" s="35" t="s">
        <v>179</v>
      </c>
      <c r="D5" s="35" t="s">
        <v>180</v>
      </c>
      <c r="E5" s="36" t="s">
        <v>181</v>
      </c>
      <c r="F5" s="24">
        <v>46027.0</v>
      </c>
      <c r="G5" s="25">
        <v>1700000.0</v>
      </c>
      <c r="H5" s="25">
        <v>1700000.0</v>
      </c>
      <c r="I5" s="25">
        <v>1700000.0</v>
      </c>
      <c r="J5" s="25">
        <v>1700000.0</v>
      </c>
      <c r="K5" s="22"/>
      <c r="L5" s="22"/>
      <c r="M5" s="22"/>
      <c r="N5" s="9"/>
      <c r="O5" s="9"/>
      <c r="P5" s="9"/>
      <c r="Q5" s="9"/>
      <c r="R5" s="9"/>
      <c r="S5" s="9"/>
      <c r="T5" s="17"/>
    </row>
    <row r="6">
      <c r="A6" s="22"/>
      <c r="B6" s="33" t="s">
        <v>30</v>
      </c>
      <c r="C6" s="35" t="s">
        <v>182</v>
      </c>
      <c r="D6" s="35" t="s">
        <v>183</v>
      </c>
      <c r="E6" s="36" t="s">
        <v>176</v>
      </c>
      <c r="F6" s="24">
        <v>46027.0</v>
      </c>
      <c r="G6" s="25">
        <v>1500000.0</v>
      </c>
      <c r="H6" s="25">
        <v>1500000.0</v>
      </c>
      <c r="I6" s="25">
        <v>1500000.0</v>
      </c>
      <c r="J6" s="25">
        <v>1500000.0</v>
      </c>
      <c r="K6" s="22"/>
      <c r="L6" s="22"/>
      <c r="M6" s="22"/>
    </row>
    <row r="7">
      <c r="A7" s="22"/>
      <c r="B7" s="33" t="s">
        <v>30</v>
      </c>
      <c r="C7" s="35" t="s">
        <v>184</v>
      </c>
      <c r="D7" s="35" t="s">
        <v>183</v>
      </c>
      <c r="E7" s="36" t="s">
        <v>176</v>
      </c>
      <c r="F7" s="24">
        <v>46027.0</v>
      </c>
      <c r="G7" s="25">
        <v>1.52E7</v>
      </c>
      <c r="H7" s="25">
        <v>1.52E7</v>
      </c>
      <c r="I7" s="25">
        <v>1.52E7</v>
      </c>
      <c r="J7" s="25">
        <v>1.52E7</v>
      </c>
      <c r="K7" s="22"/>
      <c r="L7" s="22"/>
      <c r="M7" s="22"/>
    </row>
    <row r="8">
      <c r="A8" s="22"/>
      <c r="B8" s="33" t="s">
        <v>30</v>
      </c>
      <c r="C8" s="35" t="s">
        <v>185</v>
      </c>
      <c r="D8" s="35" t="s">
        <v>183</v>
      </c>
      <c r="E8" s="36" t="s">
        <v>176</v>
      </c>
      <c r="F8" s="24">
        <v>46027.0</v>
      </c>
      <c r="G8" s="25">
        <v>1013000.0</v>
      </c>
      <c r="H8" s="25">
        <v>1013000.0</v>
      </c>
      <c r="I8" s="25">
        <v>1013000.0</v>
      </c>
      <c r="J8" s="25">
        <v>1013000.0</v>
      </c>
      <c r="K8" s="22"/>
      <c r="L8" s="22"/>
      <c r="M8" s="22"/>
    </row>
    <row r="9">
      <c r="A9" s="22"/>
      <c r="B9" s="33" t="s">
        <v>30</v>
      </c>
      <c r="C9" s="35" t="s">
        <v>186</v>
      </c>
      <c r="D9" s="35" t="s">
        <v>86</v>
      </c>
      <c r="E9" s="36" t="s">
        <v>187</v>
      </c>
      <c r="F9" s="24">
        <v>46027.0</v>
      </c>
      <c r="G9" s="25">
        <v>85000.0</v>
      </c>
      <c r="H9" s="25">
        <v>139200.0</v>
      </c>
      <c r="I9" s="25">
        <v>165000.0</v>
      </c>
      <c r="J9" s="25">
        <v>92720.0</v>
      </c>
      <c r="K9" s="22"/>
      <c r="L9" s="22"/>
      <c r="M9" s="22"/>
    </row>
    <row r="10">
      <c r="A10" s="22"/>
      <c r="B10" s="33" t="s">
        <v>30</v>
      </c>
      <c r="C10" s="35" t="s">
        <v>188</v>
      </c>
      <c r="D10" s="35" t="s">
        <v>189</v>
      </c>
      <c r="E10" s="36" t="s">
        <v>176</v>
      </c>
      <c r="F10" s="24">
        <v>46027.0</v>
      </c>
      <c r="G10" s="25">
        <v>2231250.0</v>
      </c>
      <c r="H10" s="25">
        <v>2625000.0</v>
      </c>
      <c r="I10" s="25">
        <v>525000.0</v>
      </c>
      <c r="J10" s="25">
        <v>3500000.0</v>
      </c>
      <c r="K10" s="22"/>
      <c r="L10" s="22"/>
      <c r="M10" s="22"/>
    </row>
    <row r="11">
      <c r="A11" s="22"/>
      <c r="B11" s="33" t="s">
        <v>30</v>
      </c>
      <c r="C11" s="35" t="s">
        <v>190</v>
      </c>
      <c r="D11" s="35" t="s">
        <v>191</v>
      </c>
      <c r="E11" s="36" t="s">
        <v>192</v>
      </c>
      <c r="F11" s="24">
        <v>46031.0</v>
      </c>
      <c r="G11" s="25">
        <v>3500000.0</v>
      </c>
      <c r="H11" s="25">
        <v>2900000.0</v>
      </c>
      <c r="I11" s="25">
        <v>3500000.0</v>
      </c>
      <c r="J11" s="25">
        <v>3500000.0</v>
      </c>
      <c r="K11" s="22"/>
      <c r="L11" s="22"/>
      <c r="M11" s="22"/>
    </row>
    <row r="12">
      <c r="A12" s="22"/>
      <c r="B12" s="33" t="s">
        <v>30</v>
      </c>
      <c r="C12" s="35" t="s">
        <v>193</v>
      </c>
      <c r="D12" s="35" t="s">
        <v>194</v>
      </c>
      <c r="E12" s="36" t="s">
        <v>176</v>
      </c>
      <c r="F12" s="24">
        <v>46032.0</v>
      </c>
      <c r="G12" s="25">
        <v>2.303564E7</v>
      </c>
      <c r="H12" s="25">
        <v>1.708815E7</v>
      </c>
      <c r="I12" s="25">
        <v>1.636434E7</v>
      </c>
      <c r="J12" s="25">
        <v>2.530938E7</v>
      </c>
      <c r="K12" s="22"/>
      <c r="L12" s="22"/>
      <c r="M12" s="22"/>
    </row>
    <row r="13">
      <c r="A13" s="22"/>
      <c r="B13" s="33" t="s">
        <v>30</v>
      </c>
      <c r="C13" s="35" t="s">
        <v>195</v>
      </c>
      <c r="D13" s="35" t="s">
        <v>194</v>
      </c>
      <c r="E13" s="36" t="s">
        <v>173</v>
      </c>
      <c r="F13" s="24">
        <v>46032.0</v>
      </c>
      <c r="G13" s="25">
        <v>6801660.0</v>
      </c>
      <c r="H13" s="25">
        <v>6997530.0</v>
      </c>
      <c r="I13" s="25">
        <v>6543450.0</v>
      </c>
      <c r="J13" s="25">
        <v>7307900.0</v>
      </c>
      <c r="K13" s="22"/>
      <c r="L13" s="22"/>
      <c r="M13" s="22"/>
    </row>
    <row r="14">
      <c r="A14" s="22"/>
      <c r="B14" s="33" t="s">
        <v>30</v>
      </c>
      <c r="C14" s="35" t="s">
        <v>196</v>
      </c>
      <c r="D14" s="35" t="s">
        <v>197</v>
      </c>
      <c r="E14" s="36" t="s">
        <v>187</v>
      </c>
      <c r="F14" s="24">
        <v>46036.0</v>
      </c>
      <c r="G14" s="25">
        <v>1.0E7</v>
      </c>
      <c r="H14" s="28"/>
      <c r="I14" s="28"/>
      <c r="J14" s="28"/>
      <c r="K14" s="22"/>
      <c r="L14" s="22"/>
      <c r="M14" s="22"/>
    </row>
    <row r="15">
      <c r="A15" s="22"/>
      <c r="B15" s="33" t="s">
        <v>30</v>
      </c>
      <c r="C15" s="35" t="s">
        <v>198</v>
      </c>
      <c r="D15" s="35" t="s">
        <v>199</v>
      </c>
      <c r="E15" s="36" t="s">
        <v>176</v>
      </c>
      <c r="F15" s="24">
        <v>46036.0</v>
      </c>
      <c r="G15" s="25">
        <v>5118691.0</v>
      </c>
      <c r="H15" s="25">
        <v>7839631.0</v>
      </c>
      <c r="I15" s="28"/>
      <c r="J15" s="25">
        <v>4365111.0</v>
      </c>
      <c r="K15" s="22"/>
      <c r="L15" s="22"/>
      <c r="M15" s="22"/>
    </row>
    <row r="16">
      <c r="A16" s="22"/>
      <c r="B16" s="33" t="s">
        <v>30</v>
      </c>
      <c r="C16" s="35" t="s">
        <v>198</v>
      </c>
      <c r="D16" s="35" t="s">
        <v>199</v>
      </c>
      <c r="E16" s="36" t="s">
        <v>192</v>
      </c>
      <c r="F16" s="24">
        <v>46036.0</v>
      </c>
      <c r="G16" s="25">
        <v>2707951.0</v>
      </c>
      <c r="H16" s="25">
        <v>2983909.0</v>
      </c>
      <c r="I16" s="25">
        <v>3405438.0</v>
      </c>
      <c r="J16" s="25">
        <v>3718937.0</v>
      </c>
      <c r="K16" s="22"/>
      <c r="L16" s="22"/>
      <c r="M16" s="22"/>
    </row>
    <row r="17">
      <c r="A17" s="22"/>
      <c r="B17" s="33" t="s">
        <v>30</v>
      </c>
      <c r="C17" s="35" t="s">
        <v>200</v>
      </c>
      <c r="D17" s="35" t="s">
        <v>201</v>
      </c>
      <c r="E17" s="36" t="s">
        <v>192</v>
      </c>
      <c r="F17" s="24">
        <v>46037.0</v>
      </c>
      <c r="G17" s="25">
        <v>8976870.0</v>
      </c>
      <c r="H17" s="25">
        <v>8772225.0</v>
      </c>
      <c r="I17" s="25">
        <v>8840265.0</v>
      </c>
      <c r="J17" s="25">
        <v>9412200.0</v>
      </c>
      <c r="K17" s="22"/>
      <c r="L17" s="22"/>
      <c r="M17" s="22"/>
    </row>
    <row r="18">
      <c r="A18" s="22"/>
      <c r="B18" s="33" t="s">
        <v>30</v>
      </c>
      <c r="C18" s="35" t="s">
        <v>202</v>
      </c>
      <c r="E18" s="36" t="s">
        <v>176</v>
      </c>
      <c r="F18" s="24">
        <v>46042.0</v>
      </c>
      <c r="G18" s="25">
        <v>3000000.0</v>
      </c>
      <c r="H18" s="28"/>
      <c r="I18" s="28"/>
      <c r="J18" s="28"/>
      <c r="K18" s="22"/>
      <c r="L18" s="22"/>
      <c r="M18" s="22"/>
    </row>
    <row r="19">
      <c r="A19" s="22"/>
      <c r="B19" s="33" t="s">
        <v>30</v>
      </c>
      <c r="C19" s="35" t="s">
        <v>203</v>
      </c>
      <c r="D19" s="35" t="s">
        <v>204</v>
      </c>
      <c r="E19" s="36" t="s">
        <v>173</v>
      </c>
      <c r="F19" s="24">
        <v>46042.0</v>
      </c>
      <c r="G19" s="25">
        <v>1.6522E7</v>
      </c>
      <c r="H19" s="28"/>
      <c r="I19" s="28"/>
      <c r="J19" s="28"/>
      <c r="K19" s="22"/>
      <c r="L19" s="22"/>
      <c r="M19" s="22"/>
    </row>
    <row r="20">
      <c r="A20" s="22"/>
      <c r="B20" s="33" t="s">
        <v>30</v>
      </c>
      <c r="C20" s="35" t="s">
        <v>203</v>
      </c>
      <c r="D20" s="35" t="s">
        <v>204</v>
      </c>
      <c r="E20" s="36" t="s">
        <v>173</v>
      </c>
      <c r="F20" s="24">
        <v>46073.0</v>
      </c>
      <c r="G20" s="28"/>
      <c r="H20" s="25">
        <v>1.81504E7</v>
      </c>
      <c r="I20" s="28"/>
      <c r="J20" s="28"/>
      <c r="K20" s="22"/>
      <c r="L20" s="22"/>
      <c r="M20" s="22"/>
    </row>
    <row r="21">
      <c r="A21" s="22"/>
      <c r="B21" s="33" t="s">
        <v>30</v>
      </c>
      <c r="C21" s="35" t="s">
        <v>203</v>
      </c>
      <c r="D21" s="35" t="s">
        <v>204</v>
      </c>
      <c r="E21" s="36" t="s">
        <v>173</v>
      </c>
      <c r="F21" s="24">
        <v>46101.0</v>
      </c>
      <c r="G21" s="28"/>
      <c r="H21" s="28"/>
      <c r="I21" s="25">
        <v>1.73322E7</v>
      </c>
      <c r="J21" s="28"/>
      <c r="K21" s="22"/>
      <c r="L21" s="22"/>
      <c r="M21" s="22"/>
    </row>
    <row r="22">
      <c r="A22" s="22"/>
      <c r="B22" s="33" t="s">
        <v>30</v>
      </c>
      <c r="C22" s="35" t="s">
        <v>203</v>
      </c>
      <c r="D22" s="35" t="s">
        <v>204</v>
      </c>
      <c r="E22" s="36" t="s">
        <v>173</v>
      </c>
      <c r="F22" s="24">
        <v>46132.0</v>
      </c>
      <c r="G22" s="28"/>
      <c r="H22" s="28"/>
      <c r="I22" s="28"/>
      <c r="J22" s="25">
        <v>1.88E7</v>
      </c>
      <c r="K22" s="22"/>
      <c r="L22" s="22"/>
      <c r="M22" s="22"/>
    </row>
    <row r="23">
      <c r="A23" s="22"/>
      <c r="B23" s="33" t="s">
        <v>30</v>
      </c>
      <c r="C23" s="35" t="s">
        <v>205</v>
      </c>
      <c r="D23" s="35" t="s">
        <v>197</v>
      </c>
      <c r="E23" s="36" t="s">
        <v>192</v>
      </c>
      <c r="F23" s="24">
        <v>46052.0</v>
      </c>
      <c r="G23" s="25">
        <v>630000.0</v>
      </c>
      <c r="H23" s="25">
        <v>630000.0</v>
      </c>
      <c r="I23" s="25">
        <v>630000.0</v>
      </c>
      <c r="J23" s="25">
        <v>630000.0</v>
      </c>
      <c r="K23" s="22"/>
      <c r="L23" s="22"/>
      <c r="M23" s="22"/>
    </row>
    <row r="24">
      <c r="A24" s="22"/>
      <c r="B24" s="33" t="s">
        <v>30</v>
      </c>
      <c r="C24" s="35" t="s">
        <v>206</v>
      </c>
      <c r="D24" s="35" t="s">
        <v>207</v>
      </c>
      <c r="E24" s="36" t="s">
        <v>208</v>
      </c>
      <c r="F24" s="24">
        <v>46052.0</v>
      </c>
      <c r="G24" s="25">
        <v>2254545.0</v>
      </c>
      <c r="H24" s="25">
        <v>9127273.0</v>
      </c>
      <c r="I24" s="25">
        <v>2727273.0</v>
      </c>
      <c r="J24" s="25">
        <v>2727273.0</v>
      </c>
      <c r="K24" s="22"/>
      <c r="L24" s="22"/>
      <c r="M24" s="22"/>
    </row>
    <row r="25">
      <c r="A25" s="22"/>
      <c r="B25" s="33" t="s">
        <v>30</v>
      </c>
      <c r="C25" s="35" t="s">
        <v>209</v>
      </c>
      <c r="D25" s="35" t="s">
        <v>210</v>
      </c>
      <c r="E25" s="36" t="s">
        <v>187</v>
      </c>
      <c r="F25" s="24">
        <v>46052.0</v>
      </c>
      <c r="G25" s="25">
        <v>1.6666E7</v>
      </c>
      <c r="H25" s="25">
        <v>1.6666E7</v>
      </c>
      <c r="I25" s="25">
        <v>1.6666E7</v>
      </c>
      <c r="J25" s="25">
        <v>1.6666E7</v>
      </c>
      <c r="K25" s="22"/>
      <c r="L25" s="22"/>
      <c r="M25" s="22"/>
    </row>
    <row r="26">
      <c r="A26" s="22"/>
      <c r="B26" s="33" t="s">
        <v>30</v>
      </c>
      <c r="C26" s="35" t="s">
        <v>211</v>
      </c>
      <c r="D26" s="35" t="s">
        <v>212</v>
      </c>
      <c r="E26" s="36" t="s">
        <v>173</v>
      </c>
      <c r="F26" s="24">
        <v>46078.0</v>
      </c>
      <c r="G26" s="28"/>
      <c r="H26" s="25">
        <v>1.25E7</v>
      </c>
      <c r="I26" s="28"/>
      <c r="J26" s="28"/>
      <c r="K26" s="22"/>
      <c r="L26" s="22"/>
      <c r="M26" s="22"/>
    </row>
    <row r="27">
      <c r="A27" s="22"/>
      <c r="B27" s="33" t="s">
        <v>30</v>
      </c>
      <c r="C27" s="35" t="s">
        <v>213</v>
      </c>
      <c r="D27" s="35" t="s">
        <v>214</v>
      </c>
      <c r="E27" s="36" t="s">
        <v>173</v>
      </c>
      <c r="F27" s="24">
        <v>46052.0</v>
      </c>
      <c r="G27" s="25">
        <v>1.43E7</v>
      </c>
      <c r="H27" s="25">
        <v>1.065E7</v>
      </c>
      <c r="I27" s="25">
        <v>4950000.0</v>
      </c>
      <c r="J27" s="25">
        <v>7900000.0</v>
      </c>
      <c r="K27" s="22"/>
      <c r="L27" s="22"/>
      <c r="M27" s="22"/>
      <c r="V27" s="21">
        <f>'전체'!S6</f>
        <v>1014287821</v>
      </c>
    </row>
    <row r="28">
      <c r="A28" s="22"/>
      <c r="B28" s="33" t="s">
        <v>30</v>
      </c>
      <c r="C28" s="35" t="s">
        <v>215</v>
      </c>
      <c r="D28" s="35" t="s">
        <v>126</v>
      </c>
      <c r="E28" s="36" t="s">
        <v>181</v>
      </c>
      <c r="F28" s="24">
        <v>46053.0</v>
      </c>
      <c r="G28" s="25">
        <v>1900000.0</v>
      </c>
      <c r="H28" s="25">
        <v>1900000.0</v>
      </c>
      <c r="I28" s="25">
        <v>2050000.0</v>
      </c>
      <c r="J28" s="25">
        <v>2050000.0</v>
      </c>
      <c r="K28" s="22"/>
      <c r="L28" s="22"/>
      <c r="M28" s="22"/>
    </row>
    <row r="29">
      <c r="A29" s="22"/>
      <c r="B29" s="33" t="s">
        <v>30</v>
      </c>
      <c r="C29" s="35" t="s">
        <v>216</v>
      </c>
      <c r="D29" s="35" t="s">
        <v>217</v>
      </c>
      <c r="E29" s="36" t="s">
        <v>173</v>
      </c>
      <c r="F29" s="24">
        <v>46053.0</v>
      </c>
      <c r="G29" s="25">
        <v>2595900.0</v>
      </c>
      <c r="H29" s="25">
        <v>2922260.0</v>
      </c>
      <c r="I29" s="25">
        <v>3586020.0</v>
      </c>
      <c r="J29" s="25">
        <v>4088660.0</v>
      </c>
      <c r="K29" s="22"/>
      <c r="L29" s="22"/>
      <c r="M29" s="22"/>
    </row>
    <row r="30">
      <c r="A30" s="22"/>
      <c r="B30" s="33" t="s">
        <v>30</v>
      </c>
      <c r="C30" s="35" t="s">
        <v>218</v>
      </c>
      <c r="D30" s="35" t="s">
        <v>219</v>
      </c>
      <c r="E30" s="36" t="s">
        <v>181</v>
      </c>
      <c r="F30" s="24">
        <v>46053.0</v>
      </c>
      <c r="G30" s="25">
        <v>2000000.0</v>
      </c>
      <c r="H30" s="25">
        <v>2000000.0</v>
      </c>
      <c r="I30" s="25">
        <v>2000000.0</v>
      </c>
      <c r="J30" s="25">
        <v>2000000.0</v>
      </c>
      <c r="K30" s="22"/>
      <c r="L30" s="22"/>
      <c r="M30" s="22"/>
    </row>
    <row r="31">
      <c r="A31" s="22"/>
      <c r="B31" s="33" t="s">
        <v>30</v>
      </c>
      <c r="C31" s="35" t="s">
        <v>220</v>
      </c>
      <c r="D31" s="35" t="s">
        <v>221</v>
      </c>
      <c r="E31" s="36" t="s">
        <v>187</v>
      </c>
      <c r="F31" s="24">
        <v>46053.0</v>
      </c>
      <c r="G31" s="25">
        <v>1256416.0</v>
      </c>
      <c r="H31" s="25">
        <v>1252300.0</v>
      </c>
      <c r="I31" s="25">
        <v>1252273.0</v>
      </c>
      <c r="J31" s="25">
        <v>1252164.0</v>
      </c>
      <c r="K31" s="22"/>
      <c r="L31" s="22"/>
      <c r="M31" s="22"/>
    </row>
    <row r="32">
      <c r="A32" s="22"/>
      <c r="B32" s="33" t="s">
        <v>30</v>
      </c>
      <c r="C32" s="35" t="s">
        <v>222</v>
      </c>
      <c r="D32" s="35" t="s">
        <v>223</v>
      </c>
      <c r="E32" s="36" t="s">
        <v>181</v>
      </c>
      <c r="F32" s="24">
        <v>46053.0</v>
      </c>
      <c r="G32" s="25">
        <v>580000.0</v>
      </c>
      <c r="H32" s="25">
        <v>580000.0</v>
      </c>
      <c r="I32" s="25">
        <v>580000.0</v>
      </c>
      <c r="J32" s="25">
        <v>580000.0</v>
      </c>
      <c r="K32" s="22"/>
      <c r="L32" s="22"/>
      <c r="M32" s="22"/>
    </row>
    <row r="33">
      <c r="A33" s="22"/>
      <c r="B33" s="33" t="s">
        <v>30</v>
      </c>
      <c r="C33" s="35" t="s">
        <v>224</v>
      </c>
      <c r="D33" s="35" t="s">
        <v>225</v>
      </c>
      <c r="E33" s="36" t="s">
        <v>176</v>
      </c>
      <c r="F33" s="24">
        <v>46053.0</v>
      </c>
      <c r="G33" s="25">
        <v>4556800.0</v>
      </c>
      <c r="H33" s="25">
        <v>7127240.0</v>
      </c>
      <c r="I33" s="25">
        <v>8981540.0</v>
      </c>
      <c r="J33" s="25">
        <v>7159700.0</v>
      </c>
      <c r="K33" s="22"/>
      <c r="L33" s="22"/>
      <c r="M33" s="22"/>
    </row>
    <row r="34">
      <c r="A34" s="22"/>
      <c r="B34" s="33" t="s">
        <v>30</v>
      </c>
      <c r="C34" s="35" t="s">
        <v>226</v>
      </c>
      <c r="D34" s="35" t="s">
        <v>227</v>
      </c>
      <c r="E34" s="36" t="s">
        <v>181</v>
      </c>
      <c r="F34" s="24">
        <v>46053.0</v>
      </c>
      <c r="G34" s="25">
        <v>3.7009E7</v>
      </c>
      <c r="H34" s="25">
        <v>3.8087E7</v>
      </c>
      <c r="I34" s="25">
        <v>3.8282E7</v>
      </c>
      <c r="J34" s="25">
        <v>3.636E7</v>
      </c>
      <c r="K34" s="22"/>
      <c r="L34" s="22"/>
      <c r="M34" s="22"/>
    </row>
    <row r="35">
      <c r="A35" s="22"/>
      <c r="B35" s="33" t="s">
        <v>30</v>
      </c>
      <c r="C35" s="35" t="s">
        <v>228</v>
      </c>
      <c r="D35" s="35" t="s">
        <v>229</v>
      </c>
      <c r="E35" s="36" t="s">
        <v>173</v>
      </c>
      <c r="F35" s="24">
        <v>46053.0</v>
      </c>
      <c r="G35" s="25">
        <v>1.9666416E7</v>
      </c>
      <c r="H35" s="25">
        <v>8381007.0</v>
      </c>
      <c r="I35" s="25">
        <v>1.960632E7</v>
      </c>
      <c r="J35" s="25">
        <v>7887695.0</v>
      </c>
      <c r="K35" s="22"/>
      <c r="L35" s="22"/>
      <c r="M35" s="22"/>
    </row>
    <row r="36">
      <c r="A36" s="22"/>
      <c r="B36" s="33" t="s">
        <v>30</v>
      </c>
      <c r="C36" s="35" t="s">
        <v>230</v>
      </c>
      <c r="D36" s="35" t="s">
        <v>231</v>
      </c>
      <c r="E36" s="36" t="s">
        <v>181</v>
      </c>
      <c r="F36" s="24">
        <v>46057.0</v>
      </c>
      <c r="G36" s="28"/>
      <c r="H36" s="25">
        <v>2150000.0</v>
      </c>
      <c r="I36" s="28"/>
      <c r="J36" s="25">
        <v>3400000.0</v>
      </c>
      <c r="K36" s="22"/>
      <c r="L36" s="22"/>
      <c r="M36" s="22"/>
    </row>
    <row r="37">
      <c r="A37" s="22"/>
      <c r="B37" s="33" t="s">
        <v>30</v>
      </c>
      <c r="C37" s="35" t="s">
        <v>232</v>
      </c>
      <c r="D37" s="35" t="s">
        <v>191</v>
      </c>
      <c r="E37" s="36" t="s">
        <v>181</v>
      </c>
      <c r="F37" s="24">
        <v>46062.0</v>
      </c>
      <c r="G37" s="28"/>
      <c r="H37" s="25">
        <v>960000.0</v>
      </c>
      <c r="I37" s="28"/>
      <c r="J37" s="28"/>
      <c r="K37" s="22"/>
      <c r="L37" s="22"/>
      <c r="M37" s="22"/>
    </row>
    <row r="38">
      <c r="A38" s="22"/>
      <c r="B38" s="33" t="s">
        <v>30</v>
      </c>
      <c r="C38" s="35" t="s">
        <v>233</v>
      </c>
      <c r="D38" s="35" t="s">
        <v>201</v>
      </c>
      <c r="E38" s="36" t="s">
        <v>176</v>
      </c>
      <c r="F38" s="24">
        <v>46073.0</v>
      </c>
      <c r="G38" s="28"/>
      <c r="H38" s="25">
        <v>3000000.0</v>
      </c>
      <c r="I38" s="25">
        <v>3000000.0</v>
      </c>
      <c r="J38" s="25">
        <v>3321035.0</v>
      </c>
      <c r="K38" s="22"/>
      <c r="L38" s="22"/>
      <c r="M38" s="22"/>
    </row>
    <row r="39">
      <c r="A39" s="22"/>
      <c r="B39" s="33" t="s">
        <v>30</v>
      </c>
      <c r="C39" s="35" t="s">
        <v>234</v>
      </c>
      <c r="D39" s="35" t="s">
        <v>235</v>
      </c>
      <c r="E39" s="36" t="s">
        <v>187</v>
      </c>
      <c r="F39" s="24">
        <v>46098.0</v>
      </c>
      <c r="G39" s="28"/>
      <c r="H39" s="28"/>
      <c r="I39" s="25">
        <v>2000000.0</v>
      </c>
      <c r="J39" s="28"/>
      <c r="K39" s="22"/>
      <c r="L39" s="22"/>
      <c r="M39" s="22"/>
    </row>
    <row r="40">
      <c r="A40" s="22"/>
      <c r="B40" s="33" t="s">
        <v>30</v>
      </c>
      <c r="C40" s="35" t="s">
        <v>236</v>
      </c>
      <c r="D40" s="35" t="s">
        <v>207</v>
      </c>
      <c r="E40" s="36" t="s">
        <v>208</v>
      </c>
      <c r="F40" s="24">
        <v>46112.0</v>
      </c>
      <c r="G40" s="28"/>
      <c r="H40" s="28"/>
      <c r="I40" s="25">
        <v>1981883.0</v>
      </c>
      <c r="J40" s="28"/>
      <c r="K40" s="22"/>
      <c r="L40" s="22"/>
      <c r="M40" s="22"/>
    </row>
    <row r="41">
      <c r="A41" s="22"/>
      <c r="B41" s="33" t="s">
        <v>30</v>
      </c>
      <c r="C41" s="35" t="s">
        <v>237</v>
      </c>
      <c r="D41" s="35" t="s">
        <v>48</v>
      </c>
      <c r="E41" s="36" t="s">
        <v>176</v>
      </c>
      <c r="F41" s="24">
        <v>46113.0</v>
      </c>
      <c r="G41" s="28"/>
      <c r="H41" s="28"/>
      <c r="I41" s="28"/>
      <c r="J41" s="25">
        <v>109500.0</v>
      </c>
      <c r="K41" s="22"/>
      <c r="L41" s="22"/>
      <c r="M41" s="22"/>
    </row>
    <row r="42">
      <c r="A42" s="22"/>
      <c r="B42" s="33" t="s">
        <v>30</v>
      </c>
      <c r="C42" s="35" t="s">
        <v>238</v>
      </c>
      <c r="D42" s="35" t="s">
        <v>239</v>
      </c>
      <c r="E42" s="36" t="s">
        <v>187</v>
      </c>
      <c r="F42" s="24">
        <v>46133.0</v>
      </c>
      <c r="G42" s="28"/>
      <c r="H42" s="28"/>
      <c r="I42" s="28"/>
      <c r="J42" s="25">
        <v>2.8445455E7</v>
      </c>
      <c r="K42" s="22"/>
      <c r="L42" s="22"/>
      <c r="M42" s="22"/>
    </row>
    <row r="43">
      <c r="G43" s="32"/>
      <c r="H43" s="32"/>
      <c r="I43" s="32"/>
      <c r="J43" s="3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20.57"/>
    <col customWidth="1" min="3" max="3" width="38.86"/>
    <col customWidth="1" min="4" max="4" width="36.29"/>
    <col customWidth="1" min="6" max="6" width="17.29"/>
  </cols>
  <sheetData>
    <row r="1">
      <c r="A1" s="1"/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41</v>
      </c>
      <c r="L1" s="3" t="s">
        <v>42</v>
      </c>
      <c r="M1" s="3" t="s">
        <v>43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21</v>
      </c>
      <c r="T1" s="3" t="s">
        <v>22</v>
      </c>
    </row>
    <row r="2">
      <c r="B2" s="37" t="s">
        <v>28</v>
      </c>
      <c r="C2" s="38" t="s">
        <v>240</v>
      </c>
      <c r="D2" s="38" t="s">
        <v>64</v>
      </c>
      <c r="E2" s="38"/>
      <c r="F2" s="39">
        <v>46033.0</v>
      </c>
      <c r="G2" s="40">
        <v>35455.0</v>
      </c>
      <c r="H2" s="37">
        <v>35455.0</v>
      </c>
      <c r="I2" s="37">
        <v>35455.0</v>
      </c>
      <c r="J2" s="38"/>
      <c r="K2" s="21"/>
      <c r="L2" s="21"/>
      <c r="M2" s="21"/>
      <c r="N2" s="21"/>
      <c r="O2" s="21"/>
      <c r="P2" s="21"/>
      <c r="Q2" s="21"/>
      <c r="R2" s="21"/>
      <c r="S2" s="10"/>
      <c r="T2" s="10"/>
    </row>
    <row r="3">
      <c r="B3" s="37" t="s">
        <v>28</v>
      </c>
      <c r="C3" s="41" t="s">
        <v>241</v>
      </c>
      <c r="D3" s="41" t="s">
        <v>54</v>
      </c>
      <c r="E3" s="41"/>
      <c r="F3" s="39">
        <v>46063.0</v>
      </c>
      <c r="G3" s="38"/>
      <c r="H3" s="40">
        <v>39900.0</v>
      </c>
      <c r="I3" s="38"/>
      <c r="J3" s="38"/>
      <c r="K3" s="21"/>
      <c r="L3" s="21"/>
      <c r="M3" s="21"/>
      <c r="N3" s="21"/>
      <c r="O3" s="21"/>
      <c r="P3" s="21"/>
      <c r="Q3" s="21"/>
      <c r="R3" s="21"/>
      <c r="S3" s="10"/>
      <c r="T3" s="10"/>
    </row>
    <row r="4">
      <c r="B4" s="37" t="s">
        <v>28</v>
      </c>
      <c r="C4" s="41" t="s">
        <v>242</v>
      </c>
      <c r="D4" s="41" t="s">
        <v>54</v>
      </c>
      <c r="E4" s="41"/>
      <c r="F4" s="39">
        <v>46055.0</v>
      </c>
      <c r="G4" s="38"/>
      <c r="H4" s="40">
        <v>315210.0</v>
      </c>
      <c r="I4" s="38"/>
      <c r="J4" s="38"/>
      <c r="K4" s="21"/>
      <c r="L4" s="21"/>
      <c r="M4" s="21"/>
      <c r="N4" s="21"/>
      <c r="O4" s="21"/>
      <c r="P4" s="21"/>
      <c r="Q4" s="21"/>
      <c r="R4" s="21"/>
      <c r="S4" s="10"/>
      <c r="T4" s="10"/>
    </row>
    <row r="5">
      <c r="B5" s="37" t="s">
        <v>28</v>
      </c>
      <c r="C5" s="38" t="s">
        <v>243</v>
      </c>
      <c r="D5" s="38" t="s">
        <v>244</v>
      </c>
      <c r="E5" s="38"/>
      <c r="F5" s="39">
        <v>46044.0</v>
      </c>
      <c r="G5" s="40">
        <v>80000.0</v>
      </c>
      <c r="H5" s="38"/>
      <c r="I5" s="37">
        <f>240000+300000</f>
        <v>540000</v>
      </c>
      <c r="J5" s="38">
        <v>480000.0</v>
      </c>
      <c r="K5" s="21"/>
      <c r="L5" s="21"/>
      <c r="M5" s="21"/>
      <c r="N5" s="21"/>
      <c r="O5" s="21"/>
      <c r="P5" s="21"/>
      <c r="Q5" s="21"/>
      <c r="R5" s="21"/>
      <c r="S5" s="10"/>
      <c r="T5" s="10"/>
    </row>
    <row r="6">
      <c r="B6" s="37" t="s">
        <v>28</v>
      </c>
      <c r="C6" s="38" t="s">
        <v>245</v>
      </c>
      <c r="D6" s="38" t="s">
        <v>246</v>
      </c>
      <c r="E6" s="38"/>
      <c r="F6" s="39">
        <v>46045.0</v>
      </c>
      <c r="G6" s="40">
        <v>600000.0</v>
      </c>
      <c r="H6" s="38"/>
      <c r="I6" s="38"/>
      <c r="J6" s="38"/>
      <c r="K6" s="21"/>
      <c r="L6" s="21"/>
      <c r="M6" s="21"/>
      <c r="N6" s="21"/>
      <c r="O6" s="21"/>
      <c r="P6" s="21"/>
      <c r="Q6" s="21"/>
      <c r="R6" s="21"/>
      <c r="S6" s="10"/>
      <c r="T6" s="10"/>
    </row>
    <row r="7">
      <c r="B7" s="37" t="s">
        <v>28</v>
      </c>
      <c r="C7" s="42" t="s">
        <v>247</v>
      </c>
      <c r="D7" s="41" t="s">
        <v>246</v>
      </c>
      <c r="E7" s="41"/>
      <c r="F7" s="39">
        <v>46045.0</v>
      </c>
      <c r="G7" s="40">
        <v>1600000.0</v>
      </c>
      <c r="H7" s="38"/>
      <c r="I7" s="37">
        <v>2800000.0</v>
      </c>
      <c r="J7" s="37">
        <v>1600000.0</v>
      </c>
      <c r="K7" s="21"/>
      <c r="L7" s="21"/>
      <c r="M7" s="21"/>
      <c r="N7" s="21"/>
      <c r="O7" s="21"/>
      <c r="P7" s="21"/>
      <c r="Q7" s="21"/>
      <c r="R7" s="21"/>
      <c r="S7" s="10"/>
      <c r="T7" s="10"/>
    </row>
    <row r="8">
      <c r="B8" s="37" t="s">
        <v>28</v>
      </c>
      <c r="C8" s="42" t="s">
        <v>248</v>
      </c>
      <c r="D8" s="41" t="s">
        <v>249</v>
      </c>
      <c r="E8" s="41"/>
      <c r="F8" s="39">
        <v>46048.0</v>
      </c>
      <c r="G8" s="40">
        <v>150000.0</v>
      </c>
      <c r="H8" s="37">
        <v>150000.0</v>
      </c>
      <c r="I8" s="37">
        <v>150000.0</v>
      </c>
      <c r="J8" s="37">
        <v>150000.0</v>
      </c>
      <c r="K8" s="21"/>
      <c r="L8" s="21"/>
      <c r="M8" s="21"/>
      <c r="N8" s="21"/>
      <c r="O8" s="21"/>
      <c r="P8" s="21"/>
      <c r="Q8" s="21"/>
      <c r="R8" s="21"/>
      <c r="S8" s="10"/>
      <c r="T8" s="10"/>
    </row>
    <row r="9">
      <c r="B9" s="37" t="s">
        <v>28</v>
      </c>
      <c r="C9" s="41" t="s">
        <v>250</v>
      </c>
      <c r="D9" s="41" t="s">
        <v>251</v>
      </c>
      <c r="E9" s="41"/>
      <c r="F9" s="39">
        <v>46048.0</v>
      </c>
      <c r="G9" s="40">
        <v>40000.0</v>
      </c>
      <c r="H9" s="37">
        <v>40000.0</v>
      </c>
      <c r="I9" s="37">
        <v>30000.0</v>
      </c>
      <c r="J9" s="38"/>
      <c r="K9" s="21"/>
      <c r="L9" s="21"/>
      <c r="M9" s="21"/>
      <c r="N9" s="21"/>
      <c r="O9" s="21"/>
      <c r="P9" s="21"/>
      <c r="Q9" s="21"/>
      <c r="R9" s="21"/>
      <c r="S9" s="10"/>
      <c r="T9" s="10"/>
    </row>
    <row r="10">
      <c r="B10" s="37" t="s">
        <v>28</v>
      </c>
      <c r="C10" s="42" t="s">
        <v>252</v>
      </c>
      <c r="D10" s="41" t="s">
        <v>253</v>
      </c>
      <c r="E10" s="41"/>
      <c r="F10" s="39">
        <v>46053.0</v>
      </c>
      <c r="G10" s="40">
        <f>2781711+5199671</f>
        <v>7981382</v>
      </c>
      <c r="H10" s="38">
        <v>6931780.0</v>
      </c>
      <c r="I10" s="38">
        <v>8604649.0</v>
      </c>
      <c r="J10" s="38">
        <v>9062871.0</v>
      </c>
      <c r="K10" s="21"/>
      <c r="L10" s="21"/>
      <c r="M10" s="21"/>
      <c r="N10" s="21"/>
      <c r="O10" s="21"/>
      <c r="P10" s="21"/>
      <c r="Q10" s="21"/>
      <c r="R10" s="21"/>
      <c r="S10" s="10"/>
      <c r="T10" s="10"/>
    </row>
    <row r="11">
      <c r="B11" s="37" t="s">
        <v>28</v>
      </c>
      <c r="C11" s="42" t="s">
        <v>254</v>
      </c>
      <c r="D11" s="41" t="s">
        <v>255</v>
      </c>
      <c r="E11" s="41"/>
      <c r="F11" s="39">
        <v>46053.0</v>
      </c>
      <c r="G11" s="40">
        <v>6843920.0</v>
      </c>
      <c r="H11" s="37">
        <v>5033800.0</v>
      </c>
      <c r="I11" s="37">
        <v>9021980.0</v>
      </c>
      <c r="J11" s="37">
        <v>6434701.0</v>
      </c>
      <c r="K11" s="21"/>
      <c r="L11" s="21"/>
      <c r="M11" s="21"/>
      <c r="N11" s="21"/>
      <c r="O11" s="21"/>
      <c r="P11" s="21"/>
      <c r="Q11" s="21"/>
      <c r="R11" s="21"/>
      <c r="S11" s="10"/>
      <c r="T11" s="10"/>
    </row>
    <row r="12">
      <c r="B12" s="37" t="s">
        <v>28</v>
      </c>
      <c r="C12" s="42" t="s">
        <v>256</v>
      </c>
      <c r="D12" s="41" t="s">
        <v>257</v>
      </c>
      <c r="E12" s="41"/>
      <c r="F12" s="39">
        <v>46053.0</v>
      </c>
      <c r="G12" s="40">
        <v>3470000.0</v>
      </c>
      <c r="H12" s="37">
        <v>3150000.0</v>
      </c>
      <c r="I12" s="37">
        <v>3870000.0</v>
      </c>
      <c r="J12" s="37">
        <v>3740000.0</v>
      </c>
      <c r="K12" s="21"/>
      <c r="L12" s="21"/>
      <c r="M12" s="21"/>
      <c r="N12" s="21"/>
      <c r="O12" s="21"/>
      <c r="P12" s="21"/>
      <c r="Q12" s="21"/>
      <c r="R12" s="21"/>
      <c r="S12" s="10"/>
      <c r="T12" s="10"/>
    </row>
    <row r="13">
      <c r="B13" s="37" t="s">
        <v>28</v>
      </c>
      <c r="C13" s="41" t="s">
        <v>258</v>
      </c>
      <c r="D13" s="41" t="s">
        <v>259</v>
      </c>
      <c r="E13" s="41"/>
      <c r="F13" s="39">
        <v>46099.0</v>
      </c>
      <c r="G13" s="38"/>
      <c r="H13" s="38"/>
      <c r="I13" s="40">
        <v>88273.0</v>
      </c>
      <c r="J13" s="38"/>
      <c r="K13" s="21"/>
      <c r="L13" s="21"/>
      <c r="M13" s="21"/>
      <c r="N13" s="21"/>
      <c r="O13" s="21"/>
      <c r="P13" s="21"/>
      <c r="Q13" s="21"/>
      <c r="R13" s="21"/>
      <c r="S13" s="10"/>
      <c r="T13" s="10"/>
    </row>
    <row r="14">
      <c r="B14" s="37" t="s">
        <v>28</v>
      </c>
      <c r="C14" s="41" t="s">
        <v>260</v>
      </c>
      <c r="D14" s="41" t="s">
        <v>246</v>
      </c>
      <c r="E14" s="41"/>
      <c r="F14" s="39">
        <v>46104.0</v>
      </c>
      <c r="G14" s="38"/>
      <c r="H14" s="38"/>
      <c r="I14" s="40">
        <v>880000.0</v>
      </c>
      <c r="J14" s="38"/>
      <c r="K14" s="21"/>
      <c r="L14" s="21"/>
      <c r="M14" s="21"/>
      <c r="N14" s="21"/>
      <c r="O14" s="21"/>
      <c r="P14" s="21"/>
      <c r="Q14" s="21"/>
      <c r="R14" s="21"/>
      <c r="S14" s="10"/>
      <c r="T14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11.71"/>
    <col customWidth="1" min="3" max="3" width="12.86"/>
    <col customWidth="1" min="4" max="4" width="20.71"/>
    <col customWidth="1" min="5" max="5" width="53.71"/>
    <col customWidth="1" min="6" max="6" width="40.29"/>
    <col customWidth="1" min="8" max="8" width="21.57"/>
    <col customWidth="1" min="9" max="10" width="17.14"/>
    <col customWidth="1" hidden="1" min="11" max="11" width="17.29"/>
    <col hidden="1" min="18" max="23" width="14.43"/>
  </cols>
  <sheetData>
    <row r="1">
      <c r="A1" s="1"/>
      <c r="B1" s="3" t="s">
        <v>261</v>
      </c>
      <c r="C1" s="3" t="s">
        <v>262</v>
      </c>
      <c r="D1" s="3" t="s">
        <v>263</v>
      </c>
      <c r="E1" s="3" t="s">
        <v>37</v>
      </c>
      <c r="F1" s="3" t="s">
        <v>38</v>
      </c>
      <c r="G1" s="3" t="s">
        <v>39</v>
      </c>
      <c r="H1" s="3" t="s">
        <v>264</v>
      </c>
      <c r="I1" s="3" t="s">
        <v>265</v>
      </c>
      <c r="J1" s="3" t="s">
        <v>266</v>
      </c>
      <c r="K1" s="3" t="s">
        <v>40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267</v>
      </c>
      <c r="Q1" s="3" t="s">
        <v>42</v>
      </c>
      <c r="R1" s="3" t="s">
        <v>43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21</v>
      </c>
      <c r="Y1" s="3" t="s">
        <v>22</v>
      </c>
    </row>
    <row r="2">
      <c r="A2" s="22"/>
      <c r="B2" s="23" t="s">
        <v>27</v>
      </c>
      <c r="C2" s="23" t="s">
        <v>268</v>
      </c>
      <c r="D2" s="23"/>
      <c r="E2" s="23" t="s">
        <v>44</v>
      </c>
      <c r="F2" s="23" t="s">
        <v>44</v>
      </c>
      <c r="G2" s="22"/>
      <c r="H2" s="43" t="s">
        <v>269</v>
      </c>
      <c r="I2" s="22"/>
      <c r="J2" s="22"/>
      <c r="K2" s="24">
        <v>46023.0</v>
      </c>
      <c r="L2" s="25">
        <v>400.0</v>
      </c>
      <c r="M2" s="26">
        <v>400.0</v>
      </c>
      <c r="N2" s="27"/>
      <c r="O2" s="27"/>
      <c r="P2" s="44">
        <v>400.0</v>
      </c>
      <c r="Q2" s="45"/>
      <c r="R2" s="22"/>
      <c r="S2" s="22"/>
      <c r="T2" s="22"/>
      <c r="U2" s="22"/>
      <c r="V2" s="22"/>
      <c r="W2" s="22"/>
      <c r="X2" s="46"/>
      <c r="Y2" s="46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>
      <c r="A3" s="22"/>
      <c r="B3" s="23" t="s">
        <v>27</v>
      </c>
      <c r="C3" s="23" t="s">
        <v>270</v>
      </c>
      <c r="D3" s="23" t="s">
        <v>271</v>
      </c>
      <c r="E3" s="23" t="s">
        <v>45</v>
      </c>
      <c r="F3" s="23" t="s">
        <v>46</v>
      </c>
      <c r="G3" s="22"/>
      <c r="H3" s="43" t="s">
        <v>269</v>
      </c>
      <c r="I3" s="22"/>
      <c r="J3" s="22"/>
      <c r="K3" s="24">
        <v>46023.0</v>
      </c>
      <c r="L3" s="25">
        <v>42636.0</v>
      </c>
      <c r="M3" s="26">
        <v>42636.0</v>
      </c>
      <c r="N3" s="26">
        <v>42636.0</v>
      </c>
      <c r="O3" s="26">
        <v>42636.0</v>
      </c>
      <c r="P3" s="47">
        <f>O3</f>
        <v>42636</v>
      </c>
      <c r="Q3" s="45"/>
      <c r="R3" s="22"/>
      <c r="S3" s="22"/>
      <c r="T3" s="22"/>
      <c r="U3" s="22"/>
      <c r="V3" s="22"/>
      <c r="W3" s="22"/>
      <c r="X3" s="46"/>
      <c r="Y3" s="46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>
      <c r="A4" s="22"/>
      <c r="B4" s="23" t="s">
        <v>27</v>
      </c>
      <c r="C4" s="23" t="s">
        <v>272</v>
      </c>
      <c r="D4" s="23" t="s">
        <v>273</v>
      </c>
      <c r="E4" s="23" t="s">
        <v>49</v>
      </c>
      <c r="F4" s="23" t="s">
        <v>50</v>
      </c>
      <c r="G4" s="22"/>
      <c r="H4" s="43" t="s">
        <v>269</v>
      </c>
      <c r="I4" s="22"/>
      <c r="J4" s="22"/>
      <c r="K4" s="24">
        <v>46027.0</v>
      </c>
      <c r="L4" s="25">
        <v>10000.0</v>
      </c>
      <c r="M4" s="27"/>
      <c r="N4" s="25">
        <v>1000.0</v>
      </c>
      <c r="O4" s="26">
        <v>15000.0</v>
      </c>
      <c r="P4" s="44">
        <v>10000.0</v>
      </c>
      <c r="Q4" s="45"/>
      <c r="R4" s="22"/>
      <c r="S4" s="22"/>
      <c r="T4" s="22"/>
      <c r="U4" s="22"/>
      <c r="V4" s="22"/>
      <c r="W4" s="22"/>
      <c r="X4" s="46"/>
      <c r="Y4" s="46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>
      <c r="A5" s="22"/>
      <c r="B5" s="23" t="s">
        <v>27</v>
      </c>
      <c r="C5" s="23" t="s">
        <v>272</v>
      </c>
      <c r="D5" s="23" t="s">
        <v>273</v>
      </c>
      <c r="E5" s="23" t="s">
        <v>51</v>
      </c>
      <c r="F5" s="23" t="s">
        <v>52</v>
      </c>
      <c r="G5" s="22"/>
      <c r="H5" s="43" t="s">
        <v>269</v>
      </c>
      <c r="I5" s="22"/>
      <c r="J5" s="22"/>
      <c r="K5" s="24">
        <v>46050.0</v>
      </c>
      <c r="L5" s="25">
        <v>1700.0</v>
      </c>
      <c r="M5" s="27"/>
      <c r="N5" s="27"/>
      <c r="O5" s="25">
        <v>1000.0</v>
      </c>
      <c r="P5" s="44">
        <v>1000.0</v>
      </c>
      <c r="Q5" s="45"/>
      <c r="R5" s="22"/>
      <c r="S5" s="22"/>
      <c r="T5" s="22"/>
      <c r="U5" s="22"/>
      <c r="V5" s="22"/>
      <c r="W5" s="22"/>
      <c r="X5" s="46"/>
      <c r="Y5" s="46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</row>
    <row r="6">
      <c r="A6" s="22"/>
      <c r="B6" s="23" t="s">
        <v>27</v>
      </c>
      <c r="C6" s="23" t="s">
        <v>272</v>
      </c>
      <c r="D6" s="23" t="s">
        <v>273</v>
      </c>
      <c r="E6" s="23" t="s">
        <v>53</v>
      </c>
      <c r="F6" s="23" t="s">
        <v>54</v>
      </c>
      <c r="G6" s="22"/>
      <c r="H6" s="43" t="s">
        <v>269</v>
      </c>
      <c r="I6" s="22"/>
      <c r="J6" s="22"/>
      <c r="K6" s="24">
        <v>46037.0</v>
      </c>
      <c r="L6" s="25">
        <v>8637.0</v>
      </c>
      <c r="M6" s="26">
        <v>36366.0</v>
      </c>
      <c r="N6" s="25">
        <v>2728.0</v>
      </c>
      <c r="O6" s="27"/>
      <c r="P6" s="44">
        <v>10000.0</v>
      </c>
      <c r="Q6" s="45"/>
      <c r="R6" s="22"/>
      <c r="S6" s="22"/>
      <c r="T6" s="22"/>
      <c r="U6" s="22"/>
      <c r="V6" s="22"/>
      <c r="W6" s="22"/>
      <c r="X6" s="46"/>
      <c r="Y6" s="46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>
      <c r="A7" s="22"/>
      <c r="B7" s="23" t="s">
        <v>27</v>
      </c>
      <c r="C7" s="23" t="s">
        <v>274</v>
      </c>
      <c r="D7" s="23" t="s">
        <v>273</v>
      </c>
      <c r="E7" s="23" t="s">
        <v>55</v>
      </c>
      <c r="F7" s="23" t="s">
        <v>56</v>
      </c>
      <c r="G7" s="22"/>
      <c r="H7" s="43" t="s">
        <v>269</v>
      </c>
      <c r="I7" s="22"/>
      <c r="J7" s="22"/>
      <c r="K7" s="24">
        <v>46040.0</v>
      </c>
      <c r="L7" s="25">
        <v>38310.0</v>
      </c>
      <c r="M7" s="27"/>
      <c r="N7" s="27"/>
      <c r="O7" s="27"/>
      <c r="P7" s="47"/>
      <c r="Q7" s="45"/>
      <c r="R7" s="22"/>
      <c r="S7" s="22"/>
      <c r="T7" s="22"/>
      <c r="U7" s="22"/>
      <c r="V7" s="22"/>
      <c r="W7" s="22"/>
      <c r="X7" s="46"/>
      <c r="Y7" s="46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</row>
    <row r="8">
      <c r="A8" s="22"/>
      <c r="B8" s="23" t="s">
        <v>27</v>
      </c>
      <c r="C8" s="23" t="s">
        <v>270</v>
      </c>
      <c r="D8" s="23" t="s">
        <v>271</v>
      </c>
      <c r="E8" s="23" t="s">
        <v>57</v>
      </c>
      <c r="F8" s="23" t="s">
        <v>58</v>
      </c>
      <c r="G8" s="22"/>
      <c r="H8" s="43" t="s">
        <v>269</v>
      </c>
      <c r="I8" s="22"/>
      <c r="J8" s="22"/>
      <c r="K8" s="24">
        <v>46027.0</v>
      </c>
      <c r="L8" s="25">
        <v>60000.0</v>
      </c>
      <c r="M8" s="26">
        <v>60000.0</v>
      </c>
      <c r="N8" s="26">
        <v>60000.0</v>
      </c>
      <c r="O8" s="26">
        <v>60000.0</v>
      </c>
      <c r="P8" s="47">
        <f t="shared" ref="P8:P11" si="1">O8</f>
        <v>60000</v>
      </c>
      <c r="Q8" s="45"/>
      <c r="R8" s="22"/>
      <c r="S8" s="22"/>
      <c r="T8" s="22"/>
      <c r="U8" s="22"/>
      <c r="V8" s="22"/>
      <c r="W8" s="22"/>
      <c r="X8" s="46"/>
      <c r="Y8" s="46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</row>
    <row r="9">
      <c r="A9" s="22"/>
      <c r="B9" s="23" t="s">
        <v>27</v>
      </c>
      <c r="C9" s="23" t="s">
        <v>270</v>
      </c>
      <c r="D9" s="23" t="s">
        <v>271</v>
      </c>
      <c r="E9" s="23" t="s">
        <v>59</v>
      </c>
      <c r="F9" s="23" t="s">
        <v>60</v>
      </c>
      <c r="G9" s="22"/>
      <c r="H9" s="43" t="s">
        <v>269</v>
      </c>
      <c r="I9" s="22"/>
      <c r="J9" s="22"/>
      <c r="K9" s="24">
        <v>46027.0</v>
      </c>
      <c r="L9" s="25">
        <v>50000.0</v>
      </c>
      <c r="M9" s="26">
        <v>50000.0</v>
      </c>
      <c r="N9" s="26">
        <v>50000.0</v>
      </c>
      <c r="O9" s="26">
        <v>50000.0</v>
      </c>
      <c r="P9" s="47">
        <f t="shared" si="1"/>
        <v>50000</v>
      </c>
      <c r="Q9" s="45"/>
      <c r="R9" s="22"/>
      <c r="S9" s="22"/>
      <c r="T9" s="22"/>
      <c r="U9" s="22"/>
      <c r="V9" s="22"/>
      <c r="W9" s="22"/>
      <c r="X9" s="46"/>
      <c r="Y9" s="46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</row>
    <row r="10">
      <c r="A10" s="22"/>
      <c r="B10" s="23" t="s">
        <v>27</v>
      </c>
      <c r="C10" s="23" t="s">
        <v>270</v>
      </c>
      <c r="D10" s="23" t="s">
        <v>271</v>
      </c>
      <c r="E10" s="23" t="s">
        <v>61</v>
      </c>
      <c r="F10" s="23" t="s">
        <v>62</v>
      </c>
      <c r="G10" s="22"/>
      <c r="H10" s="43" t="s">
        <v>269</v>
      </c>
      <c r="I10" s="22"/>
      <c r="J10" s="22"/>
      <c r="K10" s="24">
        <v>46027.0</v>
      </c>
      <c r="L10" s="25">
        <v>70000.0</v>
      </c>
      <c r="M10" s="26">
        <v>70000.0</v>
      </c>
      <c r="N10" s="26">
        <v>70000.0</v>
      </c>
      <c r="O10" s="26">
        <v>70000.0</v>
      </c>
      <c r="P10" s="47">
        <f t="shared" si="1"/>
        <v>70000</v>
      </c>
      <c r="Q10" s="45"/>
      <c r="R10" s="22"/>
      <c r="S10" s="22"/>
      <c r="T10" s="22"/>
      <c r="U10" s="22"/>
      <c r="V10" s="22"/>
      <c r="W10" s="22"/>
      <c r="X10" s="46"/>
      <c r="Y10" s="46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>
      <c r="A11" s="22"/>
      <c r="B11" s="23" t="s">
        <v>27</v>
      </c>
      <c r="C11" s="23" t="s">
        <v>275</v>
      </c>
      <c r="D11" s="23" t="s">
        <v>276</v>
      </c>
      <c r="E11" s="23" t="s">
        <v>63</v>
      </c>
      <c r="F11" s="23" t="s">
        <v>64</v>
      </c>
      <c r="G11" s="22"/>
      <c r="H11" s="43" t="s">
        <v>269</v>
      </c>
      <c r="I11" s="22"/>
      <c r="J11" s="22"/>
      <c r="K11" s="24">
        <v>46027.0</v>
      </c>
      <c r="L11" s="25">
        <v>96000.0</v>
      </c>
      <c r="M11" s="25">
        <v>85000.0</v>
      </c>
      <c r="N11" s="25">
        <v>95285.0</v>
      </c>
      <c r="O11" s="25">
        <v>96160.0</v>
      </c>
      <c r="P11" s="47">
        <f t="shared" si="1"/>
        <v>96160</v>
      </c>
      <c r="Q11" s="45"/>
      <c r="R11" s="22"/>
      <c r="S11" s="22"/>
      <c r="T11" s="22"/>
      <c r="U11" s="22"/>
      <c r="V11" s="22"/>
      <c r="W11" s="22"/>
      <c r="X11" s="46"/>
      <c r="Y11" s="46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</row>
    <row r="12">
      <c r="A12" s="22"/>
      <c r="B12" s="23" t="s">
        <v>27</v>
      </c>
      <c r="C12" s="23" t="s">
        <v>272</v>
      </c>
      <c r="D12" s="23" t="s">
        <v>271</v>
      </c>
      <c r="E12" s="23" t="s">
        <v>65</v>
      </c>
      <c r="F12" s="23" t="s">
        <v>66</v>
      </c>
      <c r="G12" s="22"/>
      <c r="H12" s="43" t="s">
        <v>269</v>
      </c>
      <c r="I12" s="22"/>
      <c r="J12" s="22"/>
      <c r="K12" s="24">
        <v>46027.0</v>
      </c>
      <c r="L12" s="25">
        <v>75000.0</v>
      </c>
      <c r="M12" s="27"/>
      <c r="N12" s="27"/>
      <c r="O12" s="25">
        <v>165000.0</v>
      </c>
      <c r="P12" s="44"/>
      <c r="Q12" s="45"/>
      <c r="R12" s="22"/>
      <c r="S12" s="22"/>
      <c r="T12" s="22"/>
      <c r="U12" s="22"/>
      <c r="V12" s="22"/>
      <c r="W12" s="22"/>
      <c r="X12" s="46"/>
      <c r="Y12" s="46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>
      <c r="A13" s="22"/>
      <c r="B13" s="23" t="s">
        <v>27</v>
      </c>
      <c r="C13" s="23" t="s">
        <v>272</v>
      </c>
      <c r="D13" s="23" t="s">
        <v>276</v>
      </c>
      <c r="E13" s="23" t="s">
        <v>67</v>
      </c>
      <c r="F13" s="23" t="s">
        <v>54</v>
      </c>
      <c r="G13" s="22"/>
      <c r="H13" s="43" t="s">
        <v>269</v>
      </c>
      <c r="I13" s="22"/>
      <c r="J13" s="22"/>
      <c r="K13" s="24">
        <v>46028.0</v>
      </c>
      <c r="L13" s="25">
        <v>104000.0</v>
      </c>
      <c r="M13" s="25">
        <v>104000.0</v>
      </c>
      <c r="N13" s="25">
        <v>104000.0</v>
      </c>
      <c r="O13" s="25">
        <v>94546.0</v>
      </c>
      <c r="P13" s="47">
        <f>O13</f>
        <v>94546</v>
      </c>
      <c r="Q13" s="45"/>
      <c r="R13" s="22"/>
      <c r="S13" s="22"/>
      <c r="T13" s="22"/>
      <c r="U13" s="22"/>
      <c r="V13" s="22"/>
      <c r="W13" s="22"/>
      <c r="X13" s="46"/>
      <c r="Y13" s="46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</row>
    <row r="14">
      <c r="A14" s="22"/>
      <c r="B14" s="23" t="s">
        <v>27</v>
      </c>
      <c r="C14" s="23" t="s">
        <v>275</v>
      </c>
      <c r="D14" s="23"/>
      <c r="E14" s="23" t="s">
        <v>55</v>
      </c>
      <c r="F14" s="23" t="s">
        <v>64</v>
      </c>
      <c r="G14" s="22"/>
      <c r="H14" s="43" t="s">
        <v>277</v>
      </c>
      <c r="I14" s="22"/>
      <c r="J14" s="22"/>
      <c r="K14" s="24">
        <v>46028.0</v>
      </c>
      <c r="L14" s="25">
        <v>12638.0</v>
      </c>
      <c r="M14" s="25">
        <v>66265.0</v>
      </c>
      <c r="N14" s="25">
        <v>4455.0</v>
      </c>
      <c r="O14" s="27"/>
      <c r="P14" s="44">
        <v>27786.0</v>
      </c>
      <c r="Q14" s="45"/>
      <c r="R14" s="22"/>
      <c r="S14" s="22"/>
      <c r="T14" s="22"/>
      <c r="U14" s="22"/>
      <c r="V14" s="22"/>
      <c r="W14" s="22"/>
      <c r="X14" s="46"/>
      <c r="Y14" s="46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>
      <c r="A15" s="22"/>
      <c r="B15" s="23" t="s">
        <v>27</v>
      </c>
      <c r="C15" s="23" t="s">
        <v>278</v>
      </c>
      <c r="D15" s="23"/>
      <c r="E15" s="23" t="s">
        <v>55</v>
      </c>
      <c r="F15" s="23" t="s">
        <v>68</v>
      </c>
      <c r="G15" s="22"/>
      <c r="H15" s="48" t="s">
        <v>279</v>
      </c>
      <c r="I15" s="22"/>
      <c r="J15" s="22"/>
      <c r="K15" s="24">
        <v>46031.0</v>
      </c>
      <c r="L15" s="25">
        <v>6000000.0</v>
      </c>
      <c r="M15" s="27"/>
      <c r="N15" s="27"/>
      <c r="O15" s="27"/>
      <c r="P15" s="47"/>
      <c r="Q15" s="45"/>
      <c r="R15" s="22"/>
      <c r="S15" s="22"/>
      <c r="T15" s="22"/>
      <c r="U15" s="22"/>
      <c r="V15" s="22"/>
      <c r="W15" s="22"/>
      <c r="X15" s="46"/>
      <c r="Y15" s="46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</row>
    <row r="16">
      <c r="A16" s="22"/>
      <c r="B16" s="23" t="s">
        <v>27</v>
      </c>
      <c r="C16" s="23" t="s">
        <v>278</v>
      </c>
      <c r="D16" s="23"/>
      <c r="E16" s="23" t="s">
        <v>55</v>
      </c>
      <c r="F16" s="23" t="s">
        <v>69</v>
      </c>
      <c r="G16" s="22"/>
      <c r="H16" s="43" t="s">
        <v>277</v>
      </c>
      <c r="I16" s="22"/>
      <c r="J16" s="22"/>
      <c r="K16" s="24">
        <v>46034.0</v>
      </c>
      <c r="L16" s="25">
        <v>145200.0</v>
      </c>
      <c r="M16" s="27"/>
      <c r="N16" s="27"/>
      <c r="O16" s="27"/>
      <c r="P16" s="47"/>
      <c r="Q16" s="45"/>
      <c r="R16" s="22"/>
      <c r="S16" s="22"/>
      <c r="T16" s="22"/>
      <c r="U16" s="22"/>
      <c r="V16" s="22"/>
      <c r="W16" s="22"/>
      <c r="X16" s="46"/>
      <c r="Y16" s="46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</row>
    <row r="17">
      <c r="A17" s="22"/>
      <c r="B17" s="23" t="s">
        <v>27</v>
      </c>
      <c r="C17" s="23" t="s">
        <v>268</v>
      </c>
      <c r="D17" s="23"/>
      <c r="E17" s="23" t="s">
        <v>55</v>
      </c>
      <c r="F17" s="23" t="s">
        <v>70</v>
      </c>
      <c r="G17" s="22"/>
      <c r="H17" s="49"/>
      <c r="I17" s="22"/>
      <c r="J17" s="22"/>
      <c r="K17" s="24">
        <v>46098.0</v>
      </c>
      <c r="L17" s="27"/>
      <c r="M17" s="27"/>
      <c r="N17" s="25">
        <v>9091.0</v>
      </c>
      <c r="O17" s="27"/>
      <c r="P17" s="47"/>
      <c r="Q17" s="45"/>
      <c r="R17" s="22"/>
      <c r="S17" s="22"/>
      <c r="T17" s="22"/>
      <c r="U17" s="22"/>
      <c r="V17" s="22"/>
      <c r="W17" s="22"/>
      <c r="X17" s="46"/>
      <c r="Y17" s="46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>
      <c r="A18" s="22"/>
      <c r="B18" s="23" t="s">
        <v>27</v>
      </c>
      <c r="C18" s="23" t="s">
        <v>274</v>
      </c>
      <c r="D18" s="23"/>
      <c r="E18" s="23" t="s">
        <v>71</v>
      </c>
      <c r="F18" s="23" t="s">
        <v>69</v>
      </c>
      <c r="G18" s="22"/>
      <c r="H18" s="43" t="s">
        <v>280</v>
      </c>
      <c r="I18" s="22"/>
      <c r="J18" s="22"/>
      <c r="K18" s="24">
        <v>46129.0</v>
      </c>
      <c r="L18" s="27"/>
      <c r="M18" s="27"/>
      <c r="N18" s="27"/>
      <c r="O18" s="25">
        <v>7273.0</v>
      </c>
      <c r="P18" s="47"/>
      <c r="Q18" s="45"/>
      <c r="R18" s="22"/>
      <c r="S18" s="22"/>
      <c r="T18" s="22"/>
      <c r="U18" s="22"/>
      <c r="V18" s="22"/>
      <c r="W18" s="22"/>
      <c r="X18" s="46"/>
      <c r="Y18" s="46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>
      <c r="A19" s="22"/>
      <c r="B19" s="23" t="s">
        <v>27</v>
      </c>
      <c r="C19" s="23" t="s">
        <v>274</v>
      </c>
      <c r="D19" s="23" t="s">
        <v>276</v>
      </c>
      <c r="E19" s="23" t="s">
        <v>72</v>
      </c>
      <c r="F19" s="23" t="s">
        <v>73</v>
      </c>
      <c r="G19" s="22"/>
      <c r="H19" s="49"/>
      <c r="I19" s="22"/>
      <c r="J19" s="22"/>
      <c r="K19" s="24">
        <v>46029.0</v>
      </c>
      <c r="L19" s="25">
        <v>522327.0</v>
      </c>
      <c r="M19" s="27"/>
      <c r="N19" s="27"/>
      <c r="O19" s="27"/>
      <c r="P19" s="47"/>
      <c r="Q19" s="45"/>
      <c r="R19" s="22"/>
      <c r="S19" s="22"/>
      <c r="T19" s="22"/>
      <c r="U19" s="22"/>
      <c r="V19" s="22"/>
      <c r="W19" s="22"/>
      <c r="X19" s="46"/>
      <c r="Y19" s="46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>
      <c r="A20" s="22"/>
      <c r="B20" s="23" t="s">
        <v>27</v>
      </c>
      <c r="C20" s="23" t="s">
        <v>270</v>
      </c>
      <c r="D20" s="23" t="s">
        <v>271</v>
      </c>
      <c r="E20" s="23" t="s">
        <v>74</v>
      </c>
      <c r="F20" s="23" t="s">
        <v>75</v>
      </c>
      <c r="G20" s="22"/>
      <c r="H20" s="49"/>
      <c r="I20" s="22"/>
      <c r="J20" s="22"/>
      <c r="K20" s="24">
        <v>46031.0</v>
      </c>
      <c r="L20" s="25">
        <v>45364.0</v>
      </c>
      <c r="M20" s="25">
        <v>45364.0</v>
      </c>
      <c r="N20" s="25">
        <v>45364.0</v>
      </c>
      <c r="O20" s="25">
        <v>45364.0</v>
      </c>
      <c r="P20" s="47">
        <f>O20</f>
        <v>45364</v>
      </c>
      <c r="Q20" s="45"/>
      <c r="R20" s="22"/>
      <c r="S20" s="22"/>
      <c r="T20" s="22"/>
      <c r="U20" s="22"/>
      <c r="V20" s="22"/>
      <c r="W20" s="22"/>
      <c r="X20" s="46"/>
      <c r="Y20" s="46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</row>
    <row r="21">
      <c r="A21" s="22"/>
      <c r="B21" s="23" t="s">
        <v>27</v>
      </c>
      <c r="C21" s="23" t="s">
        <v>268</v>
      </c>
      <c r="D21" s="23" t="s">
        <v>273</v>
      </c>
      <c r="E21" s="23" t="s">
        <v>76</v>
      </c>
      <c r="F21" s="23" t="s">
        <v>64</v>
      </c>
      <c r="G21" s="22"/>
      <c r="H21" s="49"/>
      <c r="I21" s="22"/>
      <c r="J21" s="22"/>
      <c r="K21" s="24">
        <v>46031.0</v>
      </c>
      <c r="L21" s="25">
        <v>5457.0</v>
      </c>
      <c r="M21" s="27">
        <v>23183.0</v>
      </c>
      <c r="N21" s="27"/>
      <c r="O21" s="27"/>
      <c r="P21" s="47"/>
      <c r="Q21" s="45"/>
      <c r="R21" s="22"/>
      <c r="S21" s="22"/>
      <c r="T21" s="22"/>
      <c r="U21" s="22"/>
      <c r="V21" s="22"/>
      <c r="W21" s="22"/>
      <c r="X21" s="46"/>
      <c r="Y21" s="46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>
      <c r="A22" s="22"/>
      <c r="B22" s="23" t="s">
        <v>27</v>
      </c>
      <c r="C22" s="23" t="s">
        <v>274</v>
      </c>
      <c r="D22" s="23"/>
      <c r="E22" s="23" t="s">
        <v>77</v>
      </c>
      <c r="F22" s="23" t="s">
        <v>64</v>
      </c>
      <c r="G22" s="22"/>
      <c r="H22" s="49"/>
      <c r="I22" s="22"/>
      <c r="J22" s="22"/>
      <c r="K22" s="24">
        <v>46031.0</v>
      </c>
      <c r="L22" s="25">
        <v>271819.0</v>
      </c>
      <c r="M22" s="27"/>
      <c r="N22" s="27"/>
      <c r="O22" s="27"/>
      <c r="P22" s="47"/>
      <c r="Q22" s="45"/>
      <c r="R22" s="22"/>
      <c r="S22" s="22"/>
      <c r="T22" s="22"/>
      <c r="U22" s="22"/>
      <c r="V22" s="22"/>
      <c r="W22" s="22"/>
      <c r="X22" s="46"/>
      <c r="Y22" s="46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>
      <c r="A23" s="22"/>
      <c r="B23" s="23" t="s">
        <v>27</v>
      </c>
      <c r="C23" s="23" t="s">
        <v>270</v>
      </c>
      <c r="D23" s="23"/>
      <c r="E23" s="23" t="s">
        <v>78</v>
      </c>
      <c r="F23" s="23" t="s">
        <v>79</v>
      </c>
      <c r="G23" s="22"/>
      <c r="H23" s="49"/>
      <c r="I23" s="22"/>
      <c r="J23" s="22"/>
      <c r="K23" s="24">
        <v>46031.0</v>
      </c>
      <c r="L23" s="25">
        <v>7173.0</v>
      </c>
      <c r="M23" s="25">
        <v>7173.0</v>
      </c>
      <c r="N23" s="25">
        <v>7173.0</v>
      </c>
      <c r="O23" s="25">
        <v>7173.0</v>
      </c>
      <c r="P23" s="47">
        <f t="shared" ref="P23:P25" si="2">O23</f>
        <v>7173</v>
      </c>
      <c r="Q23" s="45"/>
      <c r="R23" s="22"/>
      <c r="S23" s="22"/>
      <c r="T23" s="22"/>
      <c r="U23" s="22"/>
      <c r="V23" s="22"/>
      <c r="W23" s="22"/>
      <c r="X23" s="46"/>
      <c r="Y23" s="46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>
      <c r="A24" s="22"/>
      <c r="B24" s="23" t="s">
        <v>27</v>
      </c>
      <c r="C24" s="23" t="s">
        <v>270</v>
      </c>
      <c r="D24" s="23"/>
      <c r="E24" s="23" t="s">
        <v>81</v>
      </c>
      <c r="F24" s="23" t="s">
        <v>82</v>
      </c>
      <c r="G24" s="22"/>
      <c r="H24" s="49"/>
      <c r="I24" s="22"/>
      <c r="J24" s="22"/>
      <c r="K24" s="24">
        <v>46034.0</v>
      </c>
      <c r="L24" s="25">
        <v>3000.0</v>
      </c>
      <c r="M24" s="25">
        <v>3000.0</v>
      </c>
      <c r="N24" s="25">
        <v>3000.0</v>
      </c>
      <c r="O24" s="25">
        <v>3000.0</v>
      </c>
      <c r="P24" s="47">
        <f t="shared" si="2"/>
        <v>3000</v>
      </c>
      <c r="Q24" s="45"/>
      <c r="R24" s="22"/>
      <c r="S24" s="22"/>
      <c r="T24" s="22"/>
      <c r="U24" s="22"/>
      <c r="V24" s="22"/>
      <c r="W24" s="22"/>
      <c r="X24" s="46"/>
      <c r="Y24" s="46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>
      <c r="A25" s="22"/>
      <c r="B25" s="23" t="s">
        <v>27</v>
      </c>
      <c r="C25" s="23" t="s">
        <v>270</v>
      </c>
      <c r="D25" s="23"/>
      <c r="E25" s="23" t="s">
        <v>83</v>
      </c>
      <c r="F25" s="23" t="s">
        <v>84</v>
      </c>
      <c r="G25" s="22"/>
      <c r="H25" s="49"/>
      <c r="I25" s="22"/>
      <c r="J25" s="22"/>
      <c r="K25" s="24">
        <v>46034.0</v>
      </c>
      <c r="L25" s="25">
        <v>1800.0</v>
      </c>
      <c r="M25" s="25">
        <v>1800.0</v>
      </c>
      <c r="N25" s="25">
        <v>1800.0</v>
      </c>
      <c r="O25" s="25">
        <v>1800.0</v>
      </c>
      <c r="P25" s="47">
        <f t="shared" si="2"/>
        <v>1800</v>
      </c>
      <c r="Q25" s="45"/>
      <c r="R25" s="22"/>
      <c r="S25" s="22"/>
      <c r="T25" s="22"/>
      <c r="U25" s="22"/>
      <c r="V25" s="22"/>
      <c r="W25" s="22"/>
      <c r="X25" s="46"/>
      <c r="Y25" s="46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>
      <c r="A26" s="22"/>
      <c r="B26" s="23" t="s">
        <v>27</v>
      </c>
      <c r="C26" s="23" t="s">
        <v>275</v>
      </c>
      <c r="D26" s="23"/>
      <c r="E26" s="23" t="s">
        <v>85</v>
      </c>
      <c r="F26" s="23" t="s">
        <v>86</v>
      </c>
      <c r="G26" s="22"/>
      <c r="H26" s="49"/>
      <c r="I26" s="22"/>
      <c r="J26" s="22"/>
      <c r="K26" s="24">
        <v>46036.0</v>
      </c>
      <c r="L26" s="25">
        <v>193200.0</v>
      </c>
      <c r="M26" s="26">
        <v>70000.0</v>
      </c>
      <c r="N26" s="26">
        <v>251791.0</v>
      </c>
      <c r="O26" s="26">
        <v>82000.0</v>
      </c>
      <c r="P26" s="44">
        <v>134000.0</v>
      </c>
      <c r="Q26" s="45"/>
      <c r="R26" s="22"/>
      <c r="S26" s="22"/>
      <c r="T26" s="22"/>
      <c r="U26" s="22"/>
      <c r="V26" s="22"/>
      <c r="W26" s="22"/>
      <c r="X26" s="46"/>
      <c r="Y26" s="46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>
      <c r="A27" s="22"/>
      <c r="B27" s="23" t="s">
        <v>27</v>
      </c>
      <c r="C27" s="23" t="s">
        <v>281</v>
      </c>
      <c r="D27" s="23"/>
      <c r="E27" s="23" t="s">
        <v>87</v>
      </c>
      <c r="F27" s="23" t="s">
        <v>88</v>
      </c>
      <c r="G27" s="22"/>
      <c r="H27" s="43" t="s">
        <v>269</v>
      </c>
      <c r="I27" s="22"/>
      <c r="J27" s="22"/>
      <c r="K27" s="24">
        <v>46043.0</v>
      </c>
      <c r="L27" s="25">
        <v>456000.0</v>
      </c>
      <c r="M27" s="27"/>
      <c r="N27" s="27"/>
      <c r="O27" s="27"/>
      <c r="P27" s="47"/>
      <c r="Q27" s="45"/>
      <c r="R27" s="22"/>
      <c r="S27" s="22"/>
      <c r="T27" s="22"/>
      <c r="U27" s="22"/>
      <c r="V27" s="22"/>
      <c r="W27" s="22"/>
      <c r="X27" s="46"/>
      <c r="Y27" s="46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>
      <c r="A28" s="22"/>
      <c r="B28" s="23" t="s">
        <v>27</v>
      </c>
      <c r="C28" s="23" t="s">
        <v>270</v>
      </c>
      <c r="D28" s="23"/>
      <c r="E28" s="23" t="s">
        <v>89</v>
      </c>
      <c r="F28" s="23" t="s">
        <v>90</v>
      </c>
      <c r="G28" s="22"/>
      <c r="H28" s="48"/>
      <c r="I28" s="22"/>
      <c r="J28" s="22"/>
      <c r="K28" s="24">
        <v>46045.0</v>
      </c>
      <c r="L28" s="25">
        <v>400000.0</v>
      </c>
      <c r="M28" s="25">
        <v>300000.0</v>
      </c>
      <c r="N28" s="27"/>
      <c r="O28" s="25">
        <v>300000.0</v>
      </c>
      <c r="P28" s="47">
        <f t="shared" ref="P28:P29" si="3">O28</f>
        <v>300000</v>
      </c>
      <c r="Q28" s="45"/>
      <c r="R28" s="22"/>
      <c r="S28" s="22"/>
      <c r="T28" s="22"/>
      <c r="U28" s="22"/>
      <c r="V28" s="22"/>
      <c r="W28" s="22"/>
      <c r="X28" s="46"/>
      <c r="Y28" s="46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</row>
    <row r="29">
      <c r="A29" s="22"/>
      <c r="B29" s="23" t="s">
        <v>27</v>
      </c>
      <c r="C29" s="23" t="s">
        <v>270</v>
      </c>
      <c r="D29" s="23"/>
      <c r="E29" s="23" t="s">
        <v>91</v>
      </c>
      <c r="F29" s="23" t="s">
        <v>92</v>
      </c>
      <c r="G29" s="22"/>
      <c r="H29" s="49"/>
      <c r="I29" s="22"/>
      <c r="J29" s="22"/>
      <c r="K29" s="24">
        <v>46047.0</v>
      </c>
      <c r="L29" s="25">
        <v>250000.0</v>
      </c>
      <c r="M29" s="25">
        <v>250000.0</v>
      </c>
      <c r="N29" s="25">
        <v>250000.0</v>
      </c>
      <c r="O29" s="25">
        <v>250000.0</v>
      </c>
      <c r="P29" s="47">
        <f t="shared" si="3"/>
        <v>250000</v>
      </c>
      <c r="Q29" s="45"/>
      <c r="R29" s="22"/>
      <c r="S29" s="22"/>
      <c r="T29" s="22"/>
      <c r="U29" s="22"/>
      <c r="V29" s="22"/>
      <c r="W29" s="22"/>
      <c r="X29" s="46"/>
      <c r="Y29" s="46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</row>
    <row r="30">
      <c r="A30" s="22"/>
      <c r="B30" s="23" t="s">
        <v>27</v>
      </c>
      <c r="C30" s="23" t="s">
        <v>281</v>
      </c>
      <c r="D30" s="23"/>
      <c r="E30" s="23" t="s">
        <v>93</v>
      </c>
      <c r="F30" s="23" t="s">
        <v>92</v>
      </c>
      <c r="G30" s="22"/>
      <c r="H30" s="49"/>
      <c r="I30" s="22"/>
      <c r="J30" s="22"/>
      <c r="K30" s="24">
        <v>46106.0</v>
      </c>
      <c r="L30" s="27"/>
      <c r="M30" s="27"/>
      <c r="N30" s="25">
        <v>4950000.0</v>
      </c>
      <c r="O30" s="27"/>
      <c r="P30" s="47"/>
      <c r="Q30" s="45"/>
      <c r="R30" s="22"/>
      <c r="S30" s="22"/>
      <c r="T30" s="22"/>
      <c r="U30" s="22"/>
      <c r="V30" s="22"/>
      <c r="W30" s="22"/>
      <c r="X30" s="46"/>
      <c r="Y30" s="46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</row>
    <row r="31">
      <c r="A31" s="22"/>
      <c r="B31" s="23" t="s">
        <v>27</v>
      </c>
      <c r="C31" s="23" t="s">
        <v>281</v>
      </c>
      <c r="D31" s="23"/>
      <c r="E31" s="23" t="s">
        <v>94</v>
      </c>
      <c r="F31" s="23" t="s">
        <v>95</v>
      </c>
      <c r="G31" s="22"/>
      <c r="H31" s="48" t="s">
        <v>282</v>
      </c>
      <c r="I31" s="22"/>
      <c r="J31" s="22"/>
      <c r="K31" s="24">
        <v>46048.0</v>
      </c>
      <c r="L31" s="25">
        <v>6396000.0</v>
      </c>
      <c r="M31" s="27"/>
      <c r="N31" s="27"/>
      <c r="O31" s="27"/>
      <c r="P31" s="47"/>
      <c r="Q31" s="45"/>
      <c r="R31" s="22"/>
      <c r="S31" s="22"/>
      <c r="T31" s="22"/>
      <c r="U31" s="22"/>
      <c r="V31" s="22"/>
      <c r="W31" s="22"/>
      <c r="X31" s="46"/>
      <c r="Y31" s="46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>
      <c r="A32" s="22"/>
      <c r="B32" s="23" t="s">
        <v>27</v>
      </c>
      <c r="C32" s="23" t="s">
        <v>281</v>
      </c>
      <c r="D32" s="23"/>
      <c r="E32" s="23" t="s">
        <v>96</v>
      </c>
      <c r="F32" s="23" t="s">
        <v>97</v>
      </c>
      <c r="G32" s="22"/>
      <c r="H32" s="49"/>
      <c r="I32" s="22"/>
      <c r="J32" s="22"/>
      <c r="K32" s="24">
        <v>46050.0</v>
      </c>
      <c r="L32" s="25">
        <v>1.00834E7</v>
      </c>
      <c r="M32" s="27"/>
      <c r="N32" s="25">
        <v>175500.0</v>
      </c>
      <c r="O32" s="27"/>
      <c r="P32" s="47"/>
      <c r="Q32" s="45"/>
      <c r="R32" s="22"/>
      <c r="S32" s="22"/>
      <c r="T32" s="22"/>
      <c r="U32" s="22"/>
      <c r="V32" s="22"/>
      <c r="W32" s="22"/>
      <c r="X32" s="46"/>
      <c r="Y32" s="46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</row>
    <row r="33">
      <c r="A33" s="22"/>
      <c r="B33" s="23" t="s">
        <v>27</v>
      </c>
      <c r="C33" s="23" t="s">
        <v>270</v>
      </c>
      <c r="D33" s="23"/>
      <c r="E33" s="23" t="s">
        <v>98</v>
      </c>
      <c r="F33" s="23" t="s">
        <v>99</v>
      </c>
      <c r="G33" s="22"/>
      <c r="H33" s="49"/>
      <c r="I33" s="22"/>
      <c r="J33" s="22"/>
      <c r="K33" s="24">
        <v>46051.0</v>
      </c>
      <c r="L33" s="25">
        <v>660000.0</v>
      </c>
      <c r="M33" s="25">
        <v>660000.0</v>
      </c>
      <c r="N33" s="25">
        <v>660000.0</v>
      </c>
      <c r="O33" s="25">
        <v>660000.0</v>
      </c>
      <c r="P33" s="47">
        <f>O33</f>
        <v>660000</v>
      </c>
      <c r="Q33" s="45"/>
      <c r="R33" s="22"/>
      <c r="S33" s="22"/>
      <c r="T33" s="22"/>
      <c r="U33" s="22"/>
      <c r="V33" s="22"/>
      <c r="W33" s="22"/>
      <c r="X33" s="46"/>
      <c r="Y33" s="46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>
      <c r="A34" s="22"/>
      <c r="B34" s="23" t="s">
        <v>27</v>
      </c>
      <c r="C34" s="23" t="s">
        <v>275</v>
      </c>
      <c r="D34" s="23"/>
      <c r="E34" s="23" t="s">
        <v>100</v>
      </c>
      <c r="F34" s="23" t="s">
        <v>101</v>
      </c>
      <c r="G34" s="22"/>
      <c r="H34" s="49"/>
      <c r="I34" s="22"/>
      <c r="J34" s="22"/>
      <c r="K34" s="24">
        <v>46052.0</v>
      </c>
      <c r="L34" s="25">
        <v>779765.0</v>
      </c>
      <c r="M34" s="25">
        <v>591018.0</v>
      </c>
      <c r="N34" s="25">
        <v>575868.0</v>
      </c>
      <c r="O34" s="25">
        <v>679578.0</v>
      </c>
      <c r="P34" s="44">
        <v>656557.0</v>
      </c>
      <c r="Q34" s="45"/>
      <c r="R34" s="22"/>
      <c r="S34" s="22"/>
      <c r="T34" s="22"/>
      <c r="U34" s="22"/>
      <c r="V34" s="22"/>
      <c r="W34" s="22"/>
      <c r="X34" s="46"/>
      <c r="Y34" s="46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>
      <c r="A35" s="22"/>
      <c r="B35" s="23" t="s">
        <v>27</v>
      </c>
      <c r="C35" s="23" t="s">
        <v>270</v>
      </c>
      <c r="D35" s="23"/>
      <c r="E35" s="23" t="s">
        <v>283</v>
      </c>
      <c r="F35" s="23" t="s">
        <v>101</v>
      </c>
      <c r="G35" s="22"/>
      <c r="H35" s="49"/>
      <c r="I35" s="22"/>
      <c r="J35" s="22"/>
      <c r="K35" s="24">
        <v>46052.0</v>
      </c>
      <c r="L35" s="25">
        <v>40600.0</v>
      </c>
      <c r="M35" s="25">
        <v>40632.0</v>
      </c>
      <c r="N35" s="25">
        <v>40800.0</v>
      </c>
      <c r="O35" s="25">
        <v>40576.0</v>
      </c>
      <c r="P35" s="44">
        <v>40652.0</v>
      </c>
      <c r="Q35" s="45"/>
      <c r="R35" s="22"/>
      <c r="S35" s="22"/>
      <c r="T35" s="22"/>
      <c r="U35" s="22"/>
      <c r="V35" s="22"/>
      <c r="W35" s="22"/>
      <c r="X35" s="46"/>
      <c r="Y35" s="46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>
      <c r="A36" s="22"/>
      <c r="B36" s="23" t="s">
        <v>27</v>
      </c>
      <c r="C36" s="23" t="s">
        <v>274</v>
      </c>
      <c r="D36" s="23"/>
      <c r="E36" s="23" t="s">
        <v>103</v>
      </c>
      <c r="F36" s="23" t="s">
        <v>104</v>
      </c>
      <c r="G36" s="22"/>
      <c r="H36" s="49"/>
      <c r="I36" s="22"/>
      <c r="J36" s="22"/>
      <c r="K36" s="24">
        <v>46052.0</v>
      </c>
      <c r="L36" s="25">
        <v>250.0</v>
      </c>
      <c r="M36" s="27"/>
      <c r="N36" s="27"/>
      <c r="O36" s="27"/>
      <c r="P36" s="47"/>
      <c r="Q36" s="45"/>
      <c r="R36" s="22"/>
      <c r="S36" s="22"/>
      <c r="T36" s="22"/>
      <c r="U36" s="22"/>
      <c r="V36" s="22"/>
      <c r="W36" s="22"/>
      <c r="X36" s="46"/>
      <c r="Y36" s="46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>
      <c r="A37" s="22"/>
      <c r="B37" s="23" t="s">
        <v>27</v>
      </c>
      <c r="C37" s="23" t="s">
        <v>272</v>
      </c>
      <c r="D37" s="23"/>
      <c r="E37" s="23" t="s">
        <v>105</v>
      </c>
      <c r="F37" s="23" t="s">
        <v>106</v>
      </c>
      <c r="G37" s="22"/>
      <c r="H37" s="49"/>
      <c r="I37" s="22"/>
      <c r="J37" s="22"/>
      <c r="K37" s="24">
        <v>46053.0</v>
      </c>
      <c r="L37" s="25">
        <v>133108.0</v>
      </c>
      <c r="M37" s="25">
        <v>158448.0</v>
      </c>
      <c r="N37" s="25">
        <v>360937.0</v>
      </c>
      <c r="O37" s="25">
        <v>53582.0</v>
      </c>
      <c r="P37" s="44">
        <v>176000.0</v>
      </c>
      <c r="Q37" s="45"/>
      <c r="R37" s="22"/>
      <c r="S37" s="22"/>
      <c r="T37" s="22"/>
      <c r="U37" s="22"/>
      <c r="V37" s="22"/>
      <c r="W37" s="22"/>
      <c r="X37" s="46"/>
      <c r="Y37" s="46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>
      <c r="A38" s="22"/>
      <c r="B38" s="23" t="s">
        <v>27</v>
      </c>
      <c r="C38" s="23" t="s">
        <v>272</v>
      </c>
      <c r="D38" s="23"/>
      <c r="E38" s="23" t="s">
        <v>107</v>
      </c>
      <c r="F38" s="23" t="s">
        <v>106</v>
      </c>
      <c r="G38" s="22"/>
      <c r="H38" s="49"/>
      <c r="I38" s="22"/>
      <c r="J38" s="22"/>
      <c r="K38" s="24">
        <v>46081.0</v>
      </c>
      <c r="L38" s="27"/>
      <c r="M38" s="25">
        <v>9268.0</v>
      </c>
      <c r="N38" s="25">
        <v>11516.0</v>
      </c>
      <c r="O38" s="25">
        <v>5392.0</v>
      </c>
      <c r="P38" s="44">
        <v>8725.0</v>
      </c>
      <c r="Q38" s="45"/>
      <c r="R38" s="22"/>
      <c r="S38" s="22"/>
      <c r="T38" s="22"/>
      <c r="U38" s="22"/>
      <c r="V38" s="22"/>
      <c r="W38" s="22"/>
      <c r="X38" s="46"/>
      <c r="Y38" s="46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</row>
    <row r="39">
      <c r="A39" s="22"/>
      <c r="B39" s="23" t="s">
        <v>27</v>
      </c>
      <c r="C39" s="23" t="s">
        <v>270</v>
      </c>
      <c r="D39" s="23"/>
      <c r="E39" s="23" t="s">
        <v>108</v>
      </c>
      <c r="F39" s="23" t="s">
        <v>109</v>
      </c>
      <c r="G39" s="22"/>
      <c r="H39" s="48"/>
      <c r="I39" s="22"/>
      <c r="J39" s="22"/>
      <c r="K39" s="24">
        <v>46053.0</v>
      </c>
      <c r="L39" s="25">
        <v>66000.0</v>
      </c>
      <c r="M39" s="25">
        <v>66000.0</v>
      </c>
      <c r="N39" s="25">
        <v>66000.0</v>
      </c>
      <c r="O39" s="25">
        <v>66000.0</v>
      </c>
      <c r="P39" s="47">
        <f>O39</f>
        <v>66000</v>
      </c>
      <c r="Q39" s="45"/>
      <c r="R39" s="22"/>
      <c r="S39" s="22"/>
      <c r="T39" s="22"/>
      <c r="U39" s="22"/>
      <c r="V39" s="22"/>
      <c r="W39" s="22"/>
      <c r="X39" s="46"/>
      <c r="Y39" s="46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</row>
    <row r="40">
      <c r="A40" s="22"/>
      <c r="B40" s="23" t="s">
        <v>27</v>
      </c>
      <c r="C40" s="23" t="s">
        <v>284</v>
      </c>
      <c r="D40" s="23"/>
      <c r="E40" s="23" t="s">
        <v>110</v>
      </c>
      <c r="F40" s="23" t="s">
        <v>111</v>
      </c>
      <c r="G40" s="22"/>
      <c r="H40" s="49"/>
      <c r="I40" s="22"/>
      <c r="J40" s="22"/>
      <c r="K40" s="24">
        <v>46056.0</v>
      </c>
      <c r="L40" s="27"/>
      <c r="M40" s="25">
        <v>2206050.0</v>
      </c>
      <c r="N40" s="27"/>
      <c r="O40" s="27"/>
      <c r="P40" s="47"/>
      <c r="Q40" s="45"/>
      <c r="R40" s="22"/>
      <c r="S40" s="22"/>
      <c r="T40" s="22"/>
      <c r="U40" s="22"/>
      <c r="V40" s="22"/>
      <c r="W40" s="22"/>
      <c r="X40" s="46"/>
      <c r="Y40" s="46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>
      <c r="A41" s="22"/>
      <c r="B41" s="23" t="s">
        <v>27</v>
      </c>
      <c r="C41" s="23" t="s">
        <v>272</v>
      </c>
      <c r="D41" s="23"/>
      <c r="E41" s="23" t="s">
        <v>112</v>
      </c>
      <c r="F41" s="23" t="s">
        <v>113</v>
      </c>
      <c r="G41" s="22"/>
      <c r="H41" s="48" t="s">
        <v>285</v>
      </c>
      <c r="I41" s="22"/>
      <c r="J41" s="22"/>
      <c r="K41" s="24">
        <v>46072.0</v>
      </c>
      <c r="L41" s="27"/>
      <c r="M41" s="25">
        <v>615400.0</v>
      </c>
      <c r="N41" s="25">
        <v>284350.0</v>
      </c>
      <c r="O41" s="25">
        <v>270350.0</v>
      </c>
      <c r="P41" s="44">
        <v>390000.0</v>
      </c>
      <c r="Q41" s="45"/>
      <c r="R41" s="22"/>
      <c r="S41" s="22"/>
      <c r="T41" s="22"/>
      <c r="U41" s="22"/>
      <c r="V41" s="22"/>
      <c r="W41" s="22"/>
      <c r="X41" s="46"/>
      <c r="Y41" s="46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>
      <c r="A42" s="22"/>
      <c r="B42" s="23" t="s">
        <v>27</v>
      </c>
      <c r="C42" s="23" t="s">
        <v>275</v>
      </c>
      <c r="D42" s="23"/>
      <c r="E42" s="23" t="s">
        <v>114</v>
      </c>
      <c r="F42" s="23" t="s">
        <v>64</v>
      </c>
      <c r="G42" s="22"/>
      <c r="H42" s="49"/>
      <c r="I42" s="22"/>
      <c r="J42" s="22"/>
      <c r="K42" s="24">
        <v>46058.0</v>
      </c>
      <c r="L42" s="27"/>
      <c r="M42" s="25">
        <v>70000.0</v>
      </c>
      <c r="N42" s="25">
        <v>70000.0</v>
      </c>
      <c r="O42" s="27"/>
      <c r="P42" s="44">
        <v>70000.0</v>
      </c>
      <c r="Q42" s="45"/>
      <c r="R42" s="22"/>
      <c r="S42" s="22"/>
      <c r="T42" s="22"/>
      <c r="U42" s="22"/>
      <c r="V42" s="22"/>
      <c r="W42" s="22"/>
      <c r="X42" s="46"/>
      <c r="Y42" s="46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>
      <c r="A43" s="22"/>
      <c r="B43" s="23" t="s">
        <v>27</v>
      </c>
      <c r="C43" s="23" t="s">
        <v>286</v>
      </c>
      <c r="D43" s="23"/>
      <c r="E43" s="23" t="s">
        <v>115</v>
      </c>
      <c r="F43" s="23" t="s">
        <v>64</v>
      </c>
      <c r="G43" s="22"/>
      <c r="H43" s="49"/>
      <c r="I43" s="22"/>
      <c r="J43" s="22"/>
      <c r="K43" s="24">
        <v>46059.0</v>
      </c>
      <c r="L43" s="27"/>
      <c r="M43" s="25">
        <v>323991.0</v>
      </c>
      <c r="N43" s="27"/>
      <c r="O43" s="27"/>
      <c r="P43" s="47"/>
      <c r="Q43" s="45"/>
      <c r="R43" s="22"/>
      <c r="S43" s="22"/>
      <c r="T43" s="22"/>
      <c r="U43" s="22"/>
      <c r="V43" s="22"/>
      <c r="W43" s="22"/>
      <c r="X43" s="46"/>
      <c r="Y43" s="46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>
      <c r="A44" s="22"/>
      <c r="B44" s="23" t="s">
        <v>27</v>
      </c>
      <c r="C44" s="23" t="s">
        <v>278</v>
      </c>
      <c r="D44" s="23"/>
      <c r="E44" s="23" t="s">
        <v>116</v>
      </c>
      <c r="F44" s="23" t="s">
        <v>54</v>
      </c>
      <c r="G44" s="22"/>
      <c r="H44" s="49"/>
      <c r="I44" s="22"/>
      <c r="J44" s="22"/>
      <c r="K44" s="24">
        <v>46076.0</v>
      </c>
      <c r="L44" s="27"/>
      <c r="M44" s="25">
        <v>430000.0</v>
      </c>
      <c r="N44" s="27"/>
      <c r="O44" s="27"/>
      <c r="P44" s="47"/>
      <c r="Q44" s="45"/>
      <c r="R44" s="22"/>
      <c r="S44" s="22"/>
      <c r="T44" s="22"/>
      <c r="U44" s="22"/>
      <c r="V44" s="22"/>
      <c r="W44" s="22"/>
      <c r="X44" s="46"/>
      <c r="Y44" s="46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</row>
    <row r="45">
      <c r="A45" s="22"/>
      <c r="B45" s="23" t="s">
        <v>27</v>
      </c>
      <c r="C45" s="23" t="s">
        <v>274</v>
      </c>
      <c r="D45" s="23"/>
      <c r="E45" s="23" t="s">
        <v>55</v>
      </c>
      <c r="F45" s="23" t="s">
        <v>117</v>
      </c>
      <c r="G45" s="22"/>
      <c r="H45" s="49"/>
      <c r="I45" s="22"/>
      <c r="J45" s="22"/>
      <c r="K45" s="24">
        <v>46084.0</v>
      </c>
      <c r="L45" s="27"/>
      <c r="M45" s="27"/>
      <c r="N45" s="25">
        <f>53083</f>
        <v>53083</v>
      </c>
      <c r="O45" s="27"/>
      <c r="P45" s="47"/>
      <c r="Q45" s="45"/>
      <c r="R45" s="22"/>
      <c r="S45" s="22"/>
      <c r="T45" s="22"/>
      <c r="U45" s="22"/>
      <c r="V45" s="22"/>
      <c r="W45" s="22"/>
      <c r="X45" s="46"/>
      <c r="Y45" s="46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</row>
    <row r="46">
      <c r="A46" s="22"/>
      <c r="B46" s="23" t="s">
        <v>27</v>
      </c>
      <c r="C46" s="23" t="s">
        <v>270</v>
      </c>
      <c r="D46" s="23"/>
      <c r="E46" s="23" t="s">
        <v>118</v>
      </c>
      <c r="F46" s="23" t="s">
        <v>117</v>
      </c>
      <c r="G46" s="22"/>
      <c r="H46" s="49"/>
      <c r="I46" s="22"/>
      <c r="J46" s="22"/>
      <c r="K46" s="24">
        <v>46113.0</v>
      </c>
      <c r="L46" s="27"/>
      <c r="M46" s="27"/>
      <c r="N46" s="27"/>
      <c r="O46" s="25">
        <v>414028.0</v>
      </c>
      <c r="P46" s="47">
        <f>O46</f>
        <v>414028</v>
      </c>
      <c r="Q46" s="45"/>
      <c r="R46" s="22"/>
      <c r="S46" s="22"/>
      <c r="T46" s="22"/>
      <c r="U46" s="22"/>
      <c r="V46" s="22"/>
      <c r="W46" s="22"/>
      <c r="X46" s="46"/>
      <c r="Y46" s="46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>
      <c r="A47" s="22"/>
      <c r="B47" s="23" t="s">
        <v>27</v>
      </c>
      <c r="C47" s="23" t="s">
        <v>274</v>
      </c>
      <c r="D47" s="23"/>
      <c r="E47" s="23" t="s">
        <v>119</v>
      </c>
      <c r="F47" s="23" t="s">
        <v>120</v>
      </c>
      <c r="G47" s="22"/>
      <c r="H47" s="49"/>
      <c r="I47" s="22"/>
      <c r="J47" s="22"/>
      <c r="K47" s="24">
        <v>46099.0</v>
      </c>
      <c r="L47" s="27"/>
      <c r="M47" s="27"/>
      <c r="N47" s="25">
        <v>11728.0</v>
      </c>
      <c r="O47" s="27"/>
      <c r="P47" s="47"/>
      <c r="Q47" s="45"/>
      <c r="R47" s="22"/>
      <c r="S47" s="22"/>
      <c r="T47" s="22"/>
      <c r="U47" s="22"/>
      <c r="V47" s="22"/>
      <c r="W47" s="22"/>
      <c r="X47" s="46"/>
      <c r="Y47" s="46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>
      <c r="A48" s="22"/>
      <c r="B48" s="23" t="s">
        <v>27</v>
      </c>
      <c r="C48" s="23" t="s">
        <v>274</v>
      </c>
      <c r="D48" s="23"/>
      <c r="E48" s="23" t="s">
        <v>55</v>
      </c>
      <c r="F48" s="23" t="s">
        <v>70</v>
      </c>
      <c r="G48" s="22"/>
      <c r="H48" s="49"/>
      <c r="I48" s="22"/>
      <c r="J48" s="22"/>
      <c r="K48" s="24">
        <v>46100.0</v>
      </c>
      <c r="L48" s="27"/>
      <c r="M48" s="27"/>
      <c r="N48" s="25">
        <v>14548.0</v>
      </c>
      <c r="O48" s="27"/>
      <c r="P48" s="47"/>
      <c r="Q48" s="45"/>
      <c r="R48" s="22"/>
      <c r="S48" s="22"/>
      <c r="T48" s="22"/>
      <c r="U48" s="22"/>
      <c r="V48" s="22"/>
      <c r="W48" s="22"/>
      <c r="X48" s="46"/>
      <c r="Y48" s="46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>
      <c r="A49" s="22"/>
      <c r="B49" s="23" t="s">
        <v>27</v>
      </c>
      <c r="C49" s="23" t="s">
        <v>286</v>
      </c>
      <c r="D49" s="23"/>
      <c r="E49" s="23" t="s">
        <v>121</v>
      </c>
      <c r="F49" s="23" t="s">
        <v>122</v>
      </c>
      <c r="G49" s="22"/>
      <c r="H49" s="49"/>
      <c r="I49" s="22"/>
      <c r="J49" s="22"/>
      <c r="K49" s="24">
        <v>46107.0</v>
      </c>
      <c r="L49" s="27"/>
      <c r="M49" s="27"/>
      <c r="N49" s="25">
        <v>80000.0</v>
      </c>
      <c r="O49" s="26">
        <v>480000.0</v>
      </c>
      <c r="P49" s="47"/>
      <c r="Q49" s="45"/>
      <c r="R49" s="22"/>
      <c r="S49" s="22"/>
      <c r="T49" s="22"/>
      <c r="U49" s="22"/>
      <c r="V49" s="22"/>
      <c r="W49" s="22"/>
      <c r="X49" s="46"/>
      <c r="Y49" s="46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0">
      <c r="A50" s="22"/>
      <c r="B50" s="23" t="s">
        <v>27</v>
      </c>
      <c r="C50" s="23" t="s">
        <v>286</v>
      </c>
      <c r="D50" s="23"/>
      <c r="E50" s="23" t="s">
        <v>123</v>
      </c>
      <c r="F50" s="23" t="s">
        <v>124</v>
      </c>
      <c r="G50" s="22"/>
      <c r="H50" s="49"/>
      <c r="I50" s="22"/>
      <c r="J50" s="22"/>
      <c r="K50" s="24">
        <v>46132.0</v>
      </c>
      <c r="L50" s="27"/>
      <c r="M50" s="27"/>
      <c r="N50" s="27"/>
      <c r="O50" s="25">
        <v>6020000.0</v>
      </c>
      <c r="P50" s="47"/>
      <c r="Q50" s="45"/>
      <c r="R50" s="22"/>
      <c r="S50" s="22"/>
      <c r="T50" s="22"/>
      <c r="U50" s="22"/>
      <c r="V50" s="22"/>
      <c r="W50" s="22"/>
      <c r="X50" s="46"/>
      <c r="Y50" s="46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</row>
    <row r="51">
      <c r="A51" s="22"/>
      <c r="B51" s="23" t="s">
        <v>27</v>
      </c>
      <c r="C51" s="23" t="s">
        <v>278</v>
      </c>
      <c r="D51" s="23"/>
      <c r="E51" s="23" t="s">
        <v>125</v>
      </c>
      <c r="F51" s="23" t="s">
        <v>126</v>
      </c>
      <c r="G51" s="22"/>
      <c r="H51" s="49"/>
      <c r="I51" s="22"/>
      <c r="J51" s="22"/>
      <c r="K51" s="24">
        <v>46107.0</v>
      </c>
      <c r="L51" s="27"/>
      <c r="M51" s="27"/>
      <c r="N51" s="25">
        <v>230000.0</v>
      </c>
      <c r="O51" s="27"/>
      <c r="P51" s="47"/>
      <c r="Q51" s="45"/>
      <c r="R51" s="22"/>
      <c r="S51" s="22"/>
      <c r="T51" s="22"/>
      <c r="U51" s="22"/>
      <c r="V51" s="22"/>
      <c r="W51" s="22"/>
      <c r="X51" s="46"/>
      <c r="Y51" s="46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</row>
    <row r="52">
      <c r="A52" s="22"/>
      <c r="B52" s="23" t="s">
        <v>27</v>
      </c>
      <c r="C52" s="23" t="s">
        <v>284</v>
      </c>
      <c r="D52" s="23"/>
      <c r="E52" s="23" t="s">
        <v>127</v>
      </c>
      <c r="F52" s="23" t="s">
        <v>128</v>
      </c>
      <c r="G52" s="22"/>
      <c r="H52" s="49"/>
      <c r="I52" s="22"/>
      <c r="J52" s="22"/>
      <c r="K52" s="24">
        <v>46113.0</v>
      </c>
      <c r="L52" s="27"/>
      <c r="M52" s="27"/>
      <c r="N52" s="27"/>
      <c r="O52" s="25">
        <v>5290.0</v>
      </c>
      <c r="P52" s="47">
        <f t="shared" ref="P52:P53" si="4">O52</f>
        <v>5290</v>
      </c>
      <c r="Q52" s="45"/>
      <c r="R52" s="22"/>
      <c r="S52" s="22"/>
      <c r="T52" s="22"/>
      <c r="U52" s="22"/>
      <c r="V52" s="22"/>
      <c r="W52" s="22"/>
      <c r="X52" s="46"/>
      <c r="Y52" s="46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</row>
    <row r="53">
      <c r="A53" s="22"/>
      <c r="B53" s="23" t="s">
        <v>27</v>
      </c>
      <c r="C53" s="23" t="s">
        <v>270</v>
      </c>
      <c r="D53" s="23"/>
      <c r="E53" s="23" t="s">
        <v>129</v>
      </c>
      <c r="F53" s="23" t="s">
        <v>130</v>
      </c>
      <c r="G53" s="50"/>
      <c r="H53" s="49"/>
      <c r="I53" s="22"/>
      <c r="J53" s="22"/>
      <c r="K53" s="24">
        <v>46113.0</v>
      </c>
      <c r="L53" s="27"/>
      <c r="M53" s="27"/>
      <c r="N53" s="27"/>
      <c r="O53" s="25">
        <v>540000.0</v>
      </c>
      <c r="P53" s="47">
        <f t="shared" si="4"/>
        <v>540000</v>
      </c>
      <c r="Q53" s="45"/>
      <c r="R53" s="22"/>
      <c r="S53" s="22"/>
      <c r="T53" s="22"/>
      <c r="U53" s="22"/>
      <c r="V53" s="22"/>
      <c r="W53" s="22"/>
      <c r="X53" s="46"/>
      <c r="Y53" s="46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</row>
    <row r="54">
      <c r="A54" s="22"/>
      <c r="B54" s="23" t="s">
        <v>27</v>
      </c>
      <c r="C54" s="23" t="s">
        <v>284</v>
      </c>
      <c r="D54" s="23"/>
      <c r="E54" s="23" t="s">
        <v>131</v>
      </c>
      <c r="F54" s="23" t="s">
        <v>132</v>
      </c>
      <c r="G54" s="22"/>
      <c r="H54" s="49"/>
      <c r="I54" s="22"/>
      <c r="J54" s="22"/>
      <c r="K54" s="24">
        <v>46114.0</v>
      </c>
      <c r="L54" s="27"/>
      <c r="M54" s="27"/>
      <c r="N54" s="27"/>
      <c r="O54" s="25">
        <v>15296.0</v>
      </c>
      <c r="P54" s="47"/>
      <c r="Q54" s="45"/>
      <c r="R54" s="22"/>
      <c r="S54" s="22"/>
      <c r="T54" s="22"/>
      <c r="U54" s="22"/>
      <c r="V54" s="22"/>
      <c r="W54" s="22"/>
      <c r="X54" s="46"/>
      <c r="Y54" s="46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</row>
    <row r="55">
      <c r="A55" s="22"/>
      <c r="B55" s="23" t="s">
        <v>27</v>
      </c>
      <c r="C55" s="23" t="s">
        <v>284</v>
      </c>
      <c r="D55" s="23"/>
      <c r="E55" s="23" t="s">
        <v>133</v>
      </c>
      <c r="F55" s="23" t="s">
        <v>134</v>
      </c>
      <c r="G55" s="22"/>
      <c r="H55" s="49"/>
      <c r="I55" s="22"/>
      <c r="J55" s="22"/>
      <c r="K55" s="24">
        <v>46114.0</v>
      </c>
      <c r="L55" s="27"/>
      <c r="M55" s="27"/>
      <c r="N55" s="27"/>
      <c r="O55" s="25">
        <v>5000.0</v>
      </c>
      <c r="P55" s="47">
        <f>O55</f>
        <v>5000</v>
      </c>
      <c r="Q55" s="45"/>
      <c r="R55" s="22"/>
      <c r="S55" s="22"/>
      <c r="T55" s="22"/>
      <c r="U55" s="22"/>
      <c r="V55" s="22"/>
      <c r="W55" s="22"/>
      <c r="X55" s="46"/>
      <c r="Y55" s="46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</row>
    <row r="56">
      <c r="A56" s="22"/>
      <c r="B56" s="23" t="s">
        <v>27</v>
      </c>
      <c r="C56" s="23" t="s">
        <v>287</v>
      </c>
      <c r="D56" s="23" t="s">
        <v>288</v>
      </c>
      <c r="E56" s="23" t="s">
        <v>135</v>
      </c>
      <c r="F56" s="23" t="s">
        <v>136</v>
      </c>
      <c r="G56" s="22"/>
      <c r="H56" s="49"/>
      <c r="I56" s="22"/>
      <c r="J56" s="22"/>
      <c r="K56" s="24">
        <v>46114.0</v>
      </c>
      <c r="L56" s="27"/>
      <c r="M56" s="27"/>
      <c r="N56" s="27"/>
      <c r="O56" s="25">
        <v>108000.0</v>
      </c>
      <c r="P56" s="47"/>
      <c r="Q56" s="45"/>
      <c r="R56" s="22"/>
      <c r="S56" s="22"/>
      <c r="T56" s="22"/>
      <c r="U56" s="22"/>
      <c r="V56" s="22"/>
      <c r="W56" s="22"/>
      <c r="X56" s="46"/>
      <c r="Y56" s="46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>
      <c r="A57" s="22"/>
      <c r="B57" s="23" t="s">
        <v>27</v>
      </c>
      <c r="C57" s="23" t="s">
        <v>275</v>
      </c>
      <c r="D57" s="23" t="s">
        <v>288</v>
      </c>
      <c r="E57" s="23" t="s">
        <v>137</v>
      </c>
      <c r="F57" s="23" t="s">
        <v>138</v>
      </c>
      <c r="G57" s="22"/>
      <c r="H57" s="49"/>
      <c r="I57" s="22"/>
      <c r="J57" s="22"/>
      <c r="K57" s="24">
        <v>46115.0</v>
      </c>
      <c r="L57" s="27"/>
      <c r="M57" s="27"/>
      <c r="N57" s="27"/>
      <c r="O57" s="25">
        <v>169995.0</v>
      </c>
      <c r="P57" s="47">
        <f t="shared" ref="P57:P68" si="5">O57</f>
        <v>169995</v>
      </c>
      <c r="Q57" s="45"/>
      <c r="R57" s="22"/>
      <c r="S57" s="22"/>
      <c r="T57" s="22"/>
      <c r="U57" s="22"/>
      <c r="V57" s="22"/>
      <c r="W57" s="22"/>
      <c r="X57" s="46"/>
      <c r="Y57" s="46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>
      <c r="A58" s="22"/>
      <c r="B58" s="23" t="s">
        <v>27</v>
      </c>
      <c r="C58" s="23" t="s">
        <v>275</v>
      </c>
      <c r="D58" s="23" t="s">
        <v>288</v>
      </c>
      <c r="E58" s="23" t="s">
        <v>139</v>
      </c>
      <c r="F58" s="23" t="s">
        <v>140</v>
      </c>
      <c r="G58" s="22"/>
      <c r="H58" s="49"/>
      <c r="I58" s="22"/>
      <c r="J58" s="22"/>
      <c r="K58" s="24">
        <v>46125.0</v>
      </c>
      <c r="L58" s="27"/>
      <c r="M58" s="27"/>
      <c r="N58" s="27"/>
      <c r="O58" s="25">
        <v>30243.0</v>
      </c>
      <c r="P58" s="47">
        <f t="shared" si="5"/>
        <v>30243</v>
      </c>
      <c r="Q58" s="45"/>
      <c r="R58" s="22"/>
      <c r="S58" s="22"/>
      <c r="T58" s="22"/>
      <c r="U58" s="22"/>
      <c r="V58" s="22"/>
      <c r="W58" s="22"/>
      <c r="X58" s="46"/>
      <c r="Y58" s="46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</row>
    <row r="59">
      <c r="A59" s="22"/>
      <c r="B59" s="23" t="s">
        <v>27</v>
      </c>
      <c r="C59" s="23" t="s">
        <v>275</v>
      </c>
      <c r="D59" s="23" t="s">
        <v>288</v>
      </c>
      <c r="E59" s="23" t="s">
        <v>141</v>
      </c>
      <c r="F59" s="23" t="s">
        <v>138</v>
      </c>
      <c r="G59" s="22"/>
      <c r="H59" s="49"/>
      <c r="I59" s="22"/>
      <c r="J59" s="22"/>
      <c r="K59" s="24">
        <v>46127.0</v>
      </c>
      <c r="L59" s="27"/>
      <c r="M59" s="27"/>
      <c r="N59" s="27"/>
      <c r="O59" s="25">
        <v>292013.0</v>
      </c>
      <c r="P59" s="47">
        <f t="shared" si="5"/>
        <v>292013</v>
      </c>
      <c r="Q59" s="45"/>
      <c r="R59" s="22"/>
      <c r="S59" s="22"/>
      <c r="T59" s="22"/>
      <c r="U59" s="22"/>
      <c r="V59" s="22"/>
      <c r="W59" s="22"/>
      <c r="X59" s="46"/>
      <c r="Y59" s="46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>
      <c r="A60" s="22"/>
      <c r="B60" s="23" t="s">
        <v>27</v>
      </c>
      <c r="C60" s="23" t="s">
        <v>275</v>
      </c>
      <c r="D60" s="23" t="s">
        <v>288</v>
      </c>
      <c r="E60" s="23" t="s">
        <v>142</v>
      </c>
      <c r="F60" s="23" t="s">
        <v>143</v>
      </c>
      <c r="G60" s="22"/>
      <c r="H60" s="49"/>
      <c r="I60" s="22"/>
      <c r="J60" s="22"/>
      <c r="K60" s="24">
        <v>46132.0</v>
      </c>
      <c r="L60" s="27"/>
      <c r="M60" s="27"/>
      <c r="N60" s="27"/>
      <c r="O60" s="25">
        <v>37317.0</v>
      </c>
      <c r="P60" s="47">
        <f t="shared" si="5"/>
        <v>37317</v>
      </c>
      <c r="Q60" s="45"/>
      <c r="R60" s="22"/>
      <c r="S60" s="22"/>
      <c r="T60" s="22"/>
      <c r="U60" s="22"/>
      <c r="V60" s="22"/>
      <c r="W60" s="22"/>
      <c r="X60" s="46"/>
      <c r="Y60" s="46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>
      <c r="A61" s="22"/>
      <c r="B61" s="23" t="s">
        <v>27</v>
      </c>
      <c r="C61" s="23" t="s">
        <v>275</v>
      </c>
      <c r="D61" s="23" t="s">
        <v>288</v>
      </c>
      <c r="E61" s="23" t="s">
        <v>144</v>
      </c>
      <c r="F61" s="23" t="s">
        <v>138</v>
      </c>
      <c r="G61" s="22"/>
      <c r="H61" s="49"/>
      <c r="I61" s="22"/>
      <c r="J61" s="22"/>
      <c r="K61" s="24">
        <v>46132.0</v>
      </c>
      <c r="L61" s="27"/>
      <c r="M61" s="27"/>
      <c r="N61" s="27"/>
      <c r="O61" s="25">
        <v>150453.0</v>
      </c>
      <c r="P61" s="47">
        <f t="shared" si="5"/>
        <v>150453</v>
      </c>
      <c r="Q61" s="45"/>
      <c r="R61" s="22"/>
      <c r="S61" s="22"/>
      <c r="T61" s="22"/>
      <c r="U61" s="22"/>
      <c r="V61" s="22"/>
      <c r="W61" s="22"/>
      <c r="X61" s="46"/>
      <c r="Y61" s="46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>
      <c r="A62" s="22"/>
      <c r="B62" s="23" t="s">
        <v>27</v>
      </c>
      <c r="C62" s="23" t="s">
        <v>275</v>
      </c>
      <c r="D62" s="23" t="s">
        <v>288</v>
      </c>
      <c r="E62" s="23" t="s">
        <v>145</v>
      </c>
      <c r="F62" s="23" t="s">
        <v>145</v>
      </c>
      <c r="G62" s="22"/>
      <c r="H62" s="49"/>
      <c r="I62" s="22"/>
      <c r="J62" s="22"/>
      <c r="K62" s="24">
        <v>46118.0</v>
      </c>
      <c r="L62" s="27"/>
      <c r="M62" s="27"/>
      <c r="N62" s="27"/>
      <c r="O62" s="25">
        <v>154187.0</v>
      </c>
      <c r="P62" s="47">
        <f t="shared" si="5"/>
        <v>154187</v>
      </c>
      <c r="Q62" s="45"/>
      <c r="R62" s="22"/>
      <c r="S62" s="22"/>
      <c r="T62" s="22"/>
      <c r="U62" s="22"/>
      <c r="V62" s="22"/>
      <c r="W62" s="22"/>
      <c r="X62" s="46"/>
      <c r="Y62" s="46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3">
      <c r="A63" s="22"/>
      <c r="B63" s="23" t="s">
        <v>27</v>
      </c>
      <c r="C63" s="23" t="s">
        <v>275</v>
      </c>
      <c r="D63" s="23" t="s">
        <v>288</v>
      </c>
      <c r="E63" s="23" t="s">
        <v>146</v>
      </c>
      <c r="F63" s="23" t="s">
        <v>140</v>
      </c>
      <c r="G63" s="22"/>
      <c r="H63" s="49"/>
      <c r="I63" s="22"/>
      <c r="J63" s="22"/>
      <c r="K63" s="24">
        <v>46125.0</v>
      </c>
      <c r="L63" s="27"/>
      <c r="M63" s="27"/>
      <c r="N63" s="27"/>
      <c r="O63" s="25">
        <v>30243.0</v>
      </c>
      <c r="P63" s="47">
        <f t="shared" si="5"/>
        <v>30243</v>
      </c>
      <c r="Q63" s="45"/>
      <c r="R63" s="22"/>
      <c r="S63" s="22"/>
      <c r="T63" s="22"/>
      <c r="U63" s="22"/>
      <c r="V63" s="22"/>
      <c r="W63" s="22"/>
      <c r="X63" s="46"/>
      <c r="Y63" s="46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</row>
    <row r="64">
      <c r="A64" s="22"/>
      <c r="B64" s="23" t="s">
        <v>27</v>
      </c>
      <c r="C64" s="23" t="s">
        <v>275</v>
      </c>
      <c r="D64" s="23" t="s">
        <v>288</v>
      </c>
      <c r="E64" s="23" t="s">
        <v>147</v>
      </c>
      <c r="F64" s="23" t="s">
        <v>138</v>
      </c>
      <c r="G64" s="22"/>
      <c r="H64" s="49"/>
      <c r="I64" s="22"/>
      <c r="J64" s="22"/>
      <c r="K64" s="24">
        <v>46125.0</v>
      </c>
      <c r="L64" s="27"/>
      <c r="M64" s="27"/>
      <c r="N64" s="27"/>
      <c r="O64" s="25">
        <v>166344.0</v>
      </c>
      <c r="P64" s="47">
        <f t="shared" si="5"/>
        <v>166344</v>
      </c>
      <c r="Q64" s="45"/>
      <c r="R64" s="22"/>
      <c r="S64" s="22"/>
      <c r="T64" s="22"/>
      <c r="U64" s="22"/>
      <c r="V64" s="22"/>
      <c r="W64" s="22"/>
      <c r="X64" s="46"/>
      <c r="Y64" s="46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</row>
    <row r="65">
      <c r="A65" s="22"/>
      <c r="B65" s="23" t="s">
        <v>27</v>
      </c>
      <c r="C65" s="23" t="s">
        <v>275</v>
      </c>
      <c r="D65" s="23" t="s">
        <v>288</v>
      </c>
      <c r="E65" s="23" t="s">
        <v>148</v>
      </c>
      <c r="F65" s="23" t="s">
        <v>149</v>
      </c>
      <c r="G65" s="22"/>
      <c r="H65" s="49"/>
      <c r="I65" s="22"/>
      <c r="J65" s="22"/>
      <c r="K65" s="24">
        <v>46134.0</v>
      </c>
      <c r="L65" s="27"/>
      <c r="M65" s="27"/>
      <c r="N65" s="27"/>
      <c r="O65" s="25">
        <v>29946.0</v>
      </c>
      <c r="P65" s="47">
        <f t="shared" si="5"/>
        <v>29946</v>
      </c>
      <c r="Q65" s="45"/>
      <c r="R65" s="22"/>
      <c r="S65" s="22"/>
      <c r="T65" s="22"/>
      <c r="U65" s="22"/>
      <c r="V65" s="22"/>
      <c r="W65" s="22"/>
      <c r="X65" s="46"/>
      <c r="Y65" s="46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</row>
    <row r="66">
      <c r="A66" s="22"/>
      <c r="B66" s="23" t="s">
        <v>27</v>
      </c>
      <c r="C66" s="23" t="s">
        <v>275</v>
      </c>
      <c r="D66" s="23" t="s">
        <v>288</v>
      </c>
      <c r="E66" s="23" t="s">
        <v>150</v>
      </c>
      <c r="F66" s="23" t="s">
        <v>151</v>
      </c>
      <c r="G66" s="22"/>
      <c r="H66" s="49"/>
      <c r="I66" s="22"/>
      <c r="J66" s="22"/>
      <c r="K66" s="24">
        <v>46137.0</v>
      </c>
      <c r="L66" s="27"/>
      <c r="M66" s="27"/>
      <c r="N66" s="27"/>
      <c r="O66" s="25">
        <v>299660.0</v>
      </c>
      <c r="P66" s="47">
        <f t="shared" si="5"/>
        <v>299660</v>
      </c>
      <c r="Q66" s="45"/>
      <c r="R66" s="22"/>
      <c r="S66" s="22"/>
      <c r="T66" s="22"/>
      <c r="U66" s="22"/>
      <c r="V66" s="22"/>
      <c r="W66" s="22"/>
      <c r="X66" s="46"/>
      <c r="Y66" s="46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</row>
    <row r="67">
      <c r="A67" s="22"/>
      <c r="B67" s="23" t="s">
        <v>27</v>
      </c>
      <c r="C67" s="23" t="s">
        <v>275</v>
      </c>
      <c r="D67" s="23" t="s">
        <v>288</v>
      </c>
      <c r="E67" s="23" t="s">
        <v>152</v>
      </c>
      <c r="F67" s="23" t="s">
        <v>138</v>
      </c>
      <c r="G67" s="22"/>
      <c r="H67" s="49"/>
      <c r="I67" s="22"/>
      <c r="J67" s="22"/>
      <c r="K67" s="24">
        <v>46139.0</v>
      </c>
      <c r="L67" s="27"/>
      <c r="M67" s="27"/>
      <c r="N67" s="27"/>
      <c r="O67" s="25">
        <v>165788.0</v>
      </c>
      <c r="P67" s="47">
        <f t="shared" si="5"/>
        <v>165788</v>
      </c>
      <c r="Q67" s="45"/>
      <c r="R67" s="22"/>
      <c r="S67" s="22"/>
      <c r="T67" s="22"/>
      <c r="U67" s="22"/>
      <c r="V67" s="22"/>
      <c r="W67" s="22"/>
      <c r="X67" s="46"/>
      <c r="Y67" s="46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>
      <c r="A68" s="22"/>
      <c r="B68" s="23" t="s">
        <v>27</v>
      </c>
      <c r="C68" s="23" t="s">
        <v>274</v>
      </c>
      <c r="D68" s="23"/>
      <c r="E68" s="23" t="s">
        <v>55</v>
      </c>
      <c r="F68" s="23" t="s">
        <v>136</v>
      </c>
      <c r="G68" s="22"/>
      <c r="H68" s="49"/>
      <c r="I68" s="22"/>
      <c r="J68" s="22"/>
      <c r="K68" s="24">
        <v>46118.0</v>
      </c>
      <c r="L68" s="27"/>
      <c r="M68" s="27"/>
      <c r="N68" s="27"/>
      <c r="O68" s="25">
        <v>4454.0</v>
      </c>
      <c r="P68" s="47">
        <f t="shared" si="5"/>
        <v>4454</v>
      </c>
      <c r="Q68" s="45"/>
      <c r="R68" s="22"/>
      <c r="S68" s="22"/>
      <c r="T68" s="22"/>
      <c r="U68" s="22"/>
      <c r="V68" s="22"/>
      <c r="W68" s="22"/>
      <c r="X68" s="46"/>
      <c r="Y68" s="46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>
      <c r="A69" s="22"/>
      <c r="B69" s="23" t="s">
        <v>27</v>
      </c>
      <c r="C69" s="23" t="s">
        <v>278</v>
      </c>
      <c r="D69" s="23"/>
      <c r="E69" s="23" t="s">
        <v>153</v>
      </c>
      <c r="F69" s="23" t="s">
        <v>82</v>
      </c>
      <c r="G69" s="22"/>
      <c r="H69" s="49"/>
      <c r="I69" s="22"/>
      <c r="J69" s="22"/>
      <c r="K69" s="24">
        <v>46120.0</v>
      </c>
      <c r="L69" s="27"/>
      <c r="M69" s="27"/>
      <c r="N69" s="27"/>
      <c r="O69" s="25">
        <v>10000.0</v>
      </c>
      <c r="P69" s="47"/>
      <c r="Q69" s="45"/>
      <c r="R69" s="22"/>
      <c r="S69" s="22"/>
      <c r="T69" s="22"/>
      <c r="U69" s="22"/>
      <c r="V69" s="22"/>
      <c r="W69" s="22"/>
      <c r="X69" s="46"/>
      <c r="Y69" s="46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</row>
    <row r="70">
      <c r="A70" s="22"/>
      <c r="B70" s="23" t="s">
        <v>27</v>
      </c>
      <c r="C70" s="23" t="s">
        <v>274</v>
      </c>
      <c r="D70" s="23"/>
      <c r="E70" s="23" t="s">
        <v>154</v>
      </c>
      <c r="F70" s="23" t="s">
        <v>155</v>
      </c>
      <c r="G70" s="22"/>
      <c r="H70" s="49"/>
      <c r="I70" s="22"/>
      <c r="J70" s="22"/>
      <c r="K70" s="24">
        <v>46122.0</v>
      </c>
      <c r="L70" s="27"/>
      <c r="M70" s="27"/>
      <c r="N70" s="27"/>
      <c r="O70" s="25">
        <v>8299.0</v>
      </c>
      <c r="P70" s="47"/>
      <c r="Q70" s="45"/>
      <c r="R70" s="22"/>
      <c r="S70" s="22"/>
      <c r="T70" s="22"/>
      <c r="U70" s="22"/>
      <c r="V70" s="22"/>
      <c r="W70" s="22"/>
      <c r="X70" s="46"/>
      <c r="Y70" s="46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</row>
    <row r="71">
      <c r="A71" s="22"/>
      <c r="B71" s="23" t="s">
        <v>27</v>
      </c>
      <c r="C71" s="23" t="s">
        <v>274</v>
      </c>
      <c r="D71" s="23"/>
      <c r="E71" s="23" t="s">
        <v>156</v>
      </c>
      <c r="F71" s="23" t="s">
        <v>157</v>
      </c>
      <c r="G71" s="22"/>
      <c r="H71" s="49"/>
      <c r="I71" s="22"/>
      <c r="J71" s="22"/>
      <c r="K71" s="24">
        <v>46133.0</v>
      </c>
      <c r="L71" s="27"/>
      <c r="M71" s="27"/>
      <c r="N71" s="27"/>
      <c r="O71" s="25">
        <v>5456.0</v>
      </c>
      <c r="P71" s="47"/>
      <c r="Q71" s="45"/>
      <c r="R71" s="22"/>
      <c r="S71" s="22"/>
      <c r="T71" s="22"/>
      <c r="U71" s="22"/>
      <c r="V71" s="22"/>
      <c r="W71" s="22"/>
      <c r="X71" s="46"/>
      <c r="Y71" s="46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</row>
    <row r="72">
      <c r="A72" s="22"/>
      <c r="B72" s="23" t="s">
        <v>27</v>
      </c>
      <c r="C72" s="23" t="s">
        <v>270</v>
      </c>
      <c r="D72" s="23"/>
      <c r="E72" s="23" t="s">
        <v>158</v>
      </c>
      <c r="F72" s="23" t="s">
        <v>155</v>
      </c>
      <c r="G72" s="22"/>
      <c r="H72" s="49"/>
      <c r="I72" s="22"/>
      <c r="J72" s="22"/>
      <c r="K72" s="24">
        <v>46136.0</v>
      </c>
      <c r="L72" s="27"/>
      <c r="M72" s="27"/>
      <c r="N72" s="27"/>
      <c r="O72" s="25">
        <v>37779.0</v>
      </c>
      <c r="P72" s="47">
        <f t="shared" ref="P72:P73" si="6">O72</f>
        <v>37779</v>
      </c>
      <c r="Q72" s="45"/>
      <c r="R72" s="22"/>
      <c r="S72" s="22"/>
      <c r="T72" s="22"/>
      <c r="U72" s="22"/>
      <c r="V72" s="22"/>
      <c r="W72" s="22"/>
      <c r="X72" s="46"/>
      <c r="Y72" s="46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</row>
    <row r="73">
      <c r="A73" s="22"/>
      <c r="B73" s="23" t="s">
        <v>27</v>
      </c>
      <c r="C73" s="23" t="s">
        <v>284</v>
      </c>
      <c r="D73" s="23"/>
      <c r="E73" s="23" t="s">
        <v>159</v>
      </c>
      <c r="F73" s="23" t="s">
        <v>160</v>
      </c>
      <c r="G73" s="22"/>
      <c r="H73" s="49"/>
      <c r="I73" s="22"/>
      <c r="J73" s="22"/>
      <c r="K73" s="24">
        <v>46129.0</v>
      </c>
      <c r="L73" s="27"/>
      <c r="M73" s="27"/>
      <c r="N73" s="27"/>
      <c r="O73" s="25">
        <v>970000.0</v>
      </c>
      <c r="P73" s="47">
        <f t="shared" si="6"/>
        <v>970000</v>
      </c>
      <c r="Q73" s="45"/>
      <c r="R73" s="22"/>
      <c r="S73" s="22"/>
      <c r="T73" s="22"/>
      <c r="U73" s="22"/>
      <c r="V73" s="22"/>
      <c r="W73" s="22"/>
      <c r="X73" s="46"/>
      <c r="Y73" s="46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</row>
    <row r="74">
      <c r="A74" s="22"/>
      <c r="B74" s="23" t="s">
        <v>27</v>
      </c>
      <c r="C74" s="23" t="s">
        <v>274</v>
      </c>
      <c r="D74" s="23"/>
      <c r="E74" s="23" t="s">
        <v>71</v>
      </c>
      <c r="F74" s="30" t="s">
        <v>289</v>
      </c>
      <c r="G74" s="22"/>
      <c r="H74" s="49"/>
      <c r="I74" s="22"/>
      <c r="J74" s="22"/>
      <c r="K74" s="24">
        <v>46117.0</v>
      </c>
      <c r="L74" s="27"/>
      <c r="M74" s="27"/>
      <c r="N74" s="27"/>
      <c r="O74" s="25">
        <v>274028.0</v>
      </c>
      <c r="P74" s="47"/>
      <c r="Q74" s="45"/>
      <c r="R74" s="22"/>
      <c r="S74" s="22"/>
      <c r="T74" s="22"/>
      <c r="U74" s="22"/>
      <c r="V74" s="22"/>
      <c r="W74" s="22"/>
      <c r="X74" s="46"/>
      <c r="Y74" s="46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</row>
    <row r="75">
      <c r="A75" s="22"/>
      <c r="B75" s="23" t="s">
        <v>27</v>
      </c>
      <c r="C75" s="23" t="s">
        <v>274</v>
      </c>
      <c r="D75" s="23"/>
      <c r="E75" s="23" t="s">
        <v>162</v>
      </c>
      <c r="F75" s="23" t="s">
        <v>106</v>
      </c>
      <c r="G75" s="22"/>
      <c r="H75" s="49"/>
      <c r="I75" s="22"/>
      <c r="J75" s="22"/>
      <c r="K75" s="24">
        <v>46139.0</v>
      </c>
      <c r="L75" s="27"/>
      <c r="M75" s="27"/>
      <c r="N75" s="27"/>
      <c r="O75" s="25">
        <v>540000.0</v>
      </c>
      <c r="P75" s="47"/>
      <c r="Q75" s="45"/>
      <c r="R75" s="22"/>
      <c r="S75" s="22"/>
      <c r="T75" s="22"/>
      <c r="U75" s="22"/>
      <c r="V75" s="22"/>
      <c r="W75" s="22"/>
      <c r="X75" s="46"/>
      <c r="Y75" s="46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</row>
    <row r="76">
      <c r="A76" s="22"/>
      <c r="B76" s="23" t="s">
        <v>27</v>
      </c>
      <c r="C76" s="23" t="s">
        <v>284</v>
      </c>
      <c r="D76" s="23"/>
      <c r="E76" s="23" t="s">
        <v>163</v>
      </c>
      <c r="F76" s="23" t="s">
        <v>164</v>
      </c>
      <c r="G76" s="22"/>
      <c r="H76" s="49"/>
      <c r="I76" s="22"/>
      <c r="J76" s="22"/>
      <c r="K76" s="24">
        <v>46125.0</v>
      </c>
      <c r="L76" s="27"/>
      <c r="M76" s="27"/>
      <c r="N76" s="27"/>
      <c r="O76" s="25">
        <v>364.0</v>
      </c>
      <c r="P76" s="47">
        <f t="shared" ref="P76:P77" si="7">O76</f>
        <v>364</v>
      </c>
      <c r="Q76" s="45"/>
      <c r="R76" s="22"/>
      <c r="S76" s="22"/>
      <c r="T76" s="22"/>
      <c r="U76" s="22"/>
      <c r="V76" s="22"/>
      <c r="W76" s="22"/>
      <c r="X76" s="46"/>
      <c r="Y76" s="46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</row>
    <row r="77">
      <c r="A77" s="22"/>
      <c r="B77" s="23" t="s">
        <v>27</v>
      </c>
      <c r="C77" s="23" t="s">
        <v>270</v>
      </c>
      <c r="D77" s="23"/>
      <c r="E77" s="23" t="s">
        <v>165</v>
      </c>
      <c r="F77" s="23" t="s">
        <v>166</v>
      </c>
      <c r="G77" s="22"/>
      <c r="H77" s="49"/>
      <c r="I77" s="22"/>
      <c r="J77" s="22"/>
      <c r="K77" s="24">
        <v>46139.0</v>
      </c>
      <c r="L77" s="27"/>
      <c r="M77" s="27"/>
      <c r="N77" s="27"/>
      <c r="O77" s="25">
        <v>96639.0</v>
      </c>
      <c r="P77" s="47">
        <f t="shared" si="7"/>
        <v>96639</v>
      </c>
      <c r="Q77" s="45"/>
      <c r="R77" s="22"/>
      <c r="S77" s="22"/>
      <c r="T77" s="22"/>
      <c r="U77" s="22"/>
      <c r="V77" s="22"/>
      <c r="W77" s="22"/>
      <c r="X77" s="46"/>
      <c r="Y77" s="46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</row>
    <row r="78">
      <c r="A78" s="22"/>
      <c r="B78" s="23" t="s">
        <v>27</v>
      </c>
      <c r="C78" s="23" t="s">
        <v>281</v>
      </c>
      <c r="D78" s="23"/>
      <c r="E78" s="23" t="s">
        <v>167</v>
      </c>
      <c r="F78" s="23" t="s">
        <v>168</v>
      </c>
      <c r="G78" s="22"/>
      <c r="H78" s="49"/>
      <c r="I78" s="22"/>
      <c r="J78" s="22"/>
      <c r="K78" s="24">
        <v>46140.0</v>
      </c>
      <c r="L78" s="27"/>
      <c r="M78" s="27"/>
      <c r="N78" s="27"/>
      <c r="O78" s="25">
        <v>300000.0</v>
      </c>
      <c r="P78" s="47"/>
      <c r="Q78" s="45"/>
      <c r="R78" s="22"/>
      <c r="S78" s="22"/>
      <c r="T78" s="22"/>
      <c r="U78" s="22"/>
      <c r="V78" s="22"/>
      <c r="W78" s="22"/>
      <c r="X78" s="46"/>
      <c r="Y78" s="46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</row>
    <row r="79">
      <c r="A79" s="22"/>
      <c r="B79" s="23" t="s">
        <v>27</v>
      </c>
      <c r="C79" s="23" t="s">
        <v>284</v>
      </c>
      <c r="D79" s="23"/>
      <c r="E79" s="23" t="s">
        <v>169</v>
      </c>
      <c r="F79" s="23" t="s">
        <v>170</v>
      </c>
      <c r="G79" s="22"/>
      <c r="H79" s="49"/>
      <c r="I79" s="22"/>
      <c r="J79" s="22"/>
      <c r="K79" s="24">
        <v>46141.0</v>
      </c>
      <c r="L79" s="27"/>
      <c r="M79" s="27"/>
      <c r="N79" s="27"/>
      <c r="O79" s="25">
        <v>243305.0</v>
      </c>
      <c r="P79" s="47">
        <f t="shared" ref="P79:P80" si="8">O79</f>
        <v>243305</v>
      </c>
      <c r="Q79" s="45"/>
      <c r="R79" s="22"/>
      <c r="S79" s="22"/>
      <c r="T79" s="22"/>
      <c r="U79" s="22"/>
      <c r="V79" s="22"/>
      <c r="W79" s="22"/>
      <c r="X79" s="46"/>
      <c r="Y79" s="46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</row>
    <row r="80">
      <c r="A80" s="22"/>
      <c r="B80" s="23" t="s">
        <v>27</v>
      </c>
      <c r="C80" s="23" t="s">
        <v>270</v>
      </c>
      <c r="D80" s="23"/>
      <c r="E80" s="23" t="s">
        <v>171</v>
      </c>
      <c r="F80" s="23" t="s">
        <v>106</v>
      </c>
      <c r="G80" s="22"/>
      <c r="H80" s="49"/>
      <c r="I80" s="22"/>
      <c r="J80" s="22"/>
      <c r="K80" s="24">
        <v>46142.0</v>
      </c>
      <c r="L80" s="27"/>
      <c r="M80" s="27"/>
      <c r="N80" s="27"/>
      <c r="O80" s="25">
        <v>132500.0</v>
      </c>
      <c r="P80" s="47">
        <f t="shared" si="8"/>
        <v>132500</v>
      </c>
      <c r="Q80" s="45"/>
      <c r="R80" s="22"/>
      <c r="S80" s="22"/>
      <c r="T80" s="22"/>
      <c r="U80" s="22"/>
      <c r="V80" s="22"/>
      <c r="W80" s="22"/>
      <c r="X80" s="46"/>
      <c r="Y80" s="46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</row>
    <row r="81">
      <c r="B81" s="37" t="s">
        <v>28</v>
      </c>
      <c r="C81" s="37" t="s">
        <v>275</v>
      </c>
      <c r="D81" s="38"/>
      <c r="E81" s="38" t="s">
        <v>240</v>
      </c>
      <c r="F81" s="38" t="s">
        <v>64</v>
      </c>
      <c r="G81" s="37" t="s">
        <v>290</v>
      </c>
      <c r="H81" s="51"/>
      <c r="I81" s="38"/>
      <c r="J81" s="38"/>
      <c r="K81" s="39">
        <v>46033.0</v>
      </c>
      <c r="L81" s="52">
        <v>35455.0</v>
      </c>
      <c r="M81" s="53">
        <v>35455.0</v>
      </c>
      <c r="N81" s="53">
        <v>35455.0</v>
      </c>
      <c r="O81" s="54"/>
      <c r="P81" s="55">
        <f>N81</f>
        <v>35455</v>
      </c>
      <c r="Q81" s="21"/>
      <c r="R81" s="21"/>
      <c r="S81" s="21"/>
      <c r="T81" s="21"/>
      <c r="U81" s="21"/>
      <c r="V81" s="21"/>
      <c r="W81" s="21"/>
      <c r="X81" s="56"/>
      <c r="Y81" s="56"/>
    </row>
    <row r="82">
      <c r="B82" s="37" t="s">
        <v>28</v>
      </c>
      <c r="C82" s="42" t="s">
        <v>268</v>
      </c>
      <c r="D82" s="41"/>
      <c r="E82" s="41" t="s">
        <v>241</v>
      </c>
      <c r="F82" s="41" t="s">
        <v>54</v>
      </c>
      <c r="G82" s="42" t="s">
        <v>290</v>
      </c>
      <c r="H82" s="57"/>
      <c r="I82" s="41"/>
      <c r="J82" s="41"/>
      <c r="K82" s="39">
        <v>46063.0</v>
      </c>
      <c r="L82" s="54"/>
      <c r="M82" s="52">
        <v>39900.0</v>
      </c>
      <c r="N82" s="54"/>
      <c r="O82" s="54"/>
      <c r="P82" s="55"/>
      <c r="Q82" s="21"/>
      <c r="R82" s="21"/>
      <c r="S82" s="21"/>
      <c r="T82" s="21"/>
      <c r="U82" s="21"/>
      <c r="V82" s="21"/>
      <c r="W82" s="21"/>
      <c r="X82" s="56"/>
      <c r="Y82" s="56"/>
    </row>
    <row r="83">
      <c r="B83" s="37" t="s">
        <v>28</v>
      </c>
      <c r="C83" s="42" t="s">
        <v>268</v>
      </c>
      <c r="D83" s="41"/>
      <c r="E83" s="41" t="s">
        <v>242</v>
      </c>
      <c r="F83" s="41" t="s">
        <v>54</v>
      </c>
      <c r="G83" s="42" t="s">
        <v>290</v>
      </c>
      <c r="H83" s="57"/>
      <c r="I83" s="41"/>
      <c r="J83" s="41"/>
      <c r="K83" s="39">
        <v>46055.0</v>
      </c>
      <c r="L83" s="54"/>
      <c r="M83" s="52">
        <v>315210.0</v>
      </c>
      <c r="N83" s="54"/>
      <c r="O83" s="54"/>
      <c r="P83" s="55"/>
      <c r="Q83" s="21"/>
      <c r="R83" s="21"/>
      <c r="S83" s="21"/>
      <c r="T83" s="21"/>
      <c r="U83" s="21"/>
      <c r="V83" s="21"/>
      <c r="W83" s="21"/>
      <c r="X83" s="56"/>
      <c r="Y83" s="56"/>
    </row>
    <row r="84">
      <c r="B84" s="37" t="s">
        <v>28</v>
      </c>
      <c r="C84" s="37" t="s">
        <v>275</v>
      </c>
      <c r="D84" s="38"/>
      <c r="E84" s="38" t="s">
        <v>243</v>
      </c>
      <c r="F84" s="38" t="s">
        <v>244</v>
      </c>
      <c r="G84" s="42" t="s">
        <v>290</v>
      </c>
      <c r="H84" s="51"/>
      <c r="I84" s="38"/>
      <c r="J84" s="38"/>
      <c r="K84" s="39">
        <v>46044.0</v>
      </c>
      <c r="L84" s="52">
        <v>80000.0</v>
      </c>
      <c r="M84" s="54"/>
      <c r="N84" s="53">
        <f>240000+300000</f>
        <v>540000</v>
      </c>
      <c r="O84" s="54">
        <v>480000.0</v>
      </c>
      <c r="P84" s="55">
        <f>L84</f>
        <v>80000</v>
      </c>
      <c r="Q84" s="21"/>
      <c r="R84" s="21"/>
      <c r="S84" s="21"/>
      <c r="T84" s="21"/>
      <c r="U84" s="21"/>
      <c r="V84" s="21"/>
      <c r="W84" s="21"/>
      <c r="X84" s="56"/>
      <c r="Y84" s="56"/>
    </row>
    <row r="85">
      <c r="B85" s="37" t="s">
        <v>28</v>
      </c>
      <c r="C85" s="37" t="s">
        <v>268</v>
      </c>
      <c r="D85" s="38"/>
      <c r="E85" s="38" t="s">
        <v>245</v>
      </c>
      <c r="F85" s="38" t="s">
        <v>246</v>
      </c>
      <c r="G85" s="42" t="s">
        <v>290</v>
      </c>
      <c r="H85" s="51"/>
      <c r="I85" s="38"/>
      <c r="J85" s="38"/>
      <c r="K85" s="39">
        <v>46045.0</v>
      </c>
      <c r="L85" s="52">
        <v>600000.0</v>
      </c>
      <c r="M85" s="54"/>
      <c r="N85" s="54"/>
      <c r="O85" s="54"/>
      <c r="P85" s="55"/>
      <c r="Q85" s="21"/>
      <c r="R85" s="21"/>
      <c r="S85" s="21"/>
      <c r="T85" s="21"/>
      <c r="U85" s="21"/>
      <c r="V85" s="21"/>
      <c r="W85" s="21"/>
      <c r="X85" s="56"/>
      <c r="Y85" s="56"/>
    </row>
    <row r="86">
      <c r="B86" s="37" t="s">
        <v>28</v>
      </c>
      <c r="C86" s="42" t="s">
        <v>270</v>
      </c>
      <c r="D86" s="42"/>
      <c r="E86" s="42" t="s">
        <v>247</v>
      </c>
      <c r="F86" s="41" t="s">
        <v>246</v>
      </c>
      <c r="G86" s="42" t="s">
        <v>290</v>
      </c>
      <c r="H86" s="57"/>
      <c r="I86" s="41"/>
      <c r="J86" s="41"/>
      <c r="K86" s="39">
        <v>46045.0</v>
      </c>
      <c r="L86" s="52">
        <v>1600000.0</v>
      </c>
      <c r="M86" s="54"/>
      <c r="N86" s="53">
        <v>2800000.0</v>
      </c>
      <c r="O86" s="53">
        <v>1600000.0</v>
      </c>
      <c r="P86" s="55">
        <f t="shared" ref="P86:P87" si="9">O86</f>
        <v>1600000</v>
      </c>
      <c r="Q86" s="21"/>
      <c r="R86" s="21"/>
      <c r="S86" s="21"/>
      <c r="T86" s="21"/>
      <c r="U86" s="21"/>
      <c r="V86" s="21"/>
      <c r="W86" s="21"/>
      <c r="X86" s="56"/>
      <c r="Y86" s="56"/>
    </row>
    <row r="87">
      <c r="B87" s="37" t="s">
        <v>28</v>
      </c>
      <c r="C87" s="42" t="s">
        <v>270</v>
      </c>
      <c r="D87" s="42"/>
      <c r="E87" s="42" t="s">
        <v>248</v>
      </c>
      <c r="F87" s="41" t="s">
        <v>249</v>
      </c>
      <c r="G87" s="42" t="s">
        <v>290</v>
      </c>
      <c r="H87" s="57"/>
      <c r="I87" s="41"/>
      <c r="J87" s="41"/>
      <c r="K87" s="39">
        <v>46048.0</v>
      </c>
      <c r="L87" s="52">
        <v>150000.0</v>
      </c>
      <c r="M87" s="53">
        <v>150000.0</v>
      </c>
      <c r="N87" s="53">
        <v>150000.0</v>
      </c>
      <c r="O87" s="53">
        <v>150000.0</v>
      </c>
      <c r="P87" s="55">
        <f t="shared" si="9"/>
        <v>150000</v>
      </c>
      <c r="Q87" s="21"/>
      <c r="R87" s="21"/>
      <c r="S87" s="21"/>
      <c r="T87" s="21"/>
      <c r="U87" s="21"/>
      <c r="V87" s="21"/>
      <c r="W87" s="21"/>
      <c r="X87" s="56"/>
      <c r="Y87" s="56"/>
    </row>
    <row r="88">
      <c r="B88" s="37" t="s">
        <v>28</v>
      </c>
      <c r="C88" s="42" t="s">
        <v>272</v>
      </c>
      <c r="D88" s="41"/>
      <c r="E88" s="41" t="s">
        <v>250</v>
      </c>
      <c r="F88" s="41" t="s">
        <v>251</v>
      </c>
      <c r="G88" s="42" t="s">
        <v>290</v>
      </c>
      <c r="H88" s="57"/>
      <c r="I88" s="41"/>
      <c r="J88" s="41"/>
      <c r="K88" s="39">
        <v>46048.0</v>
      </c>
      <c r="L88" s="52">
        <v>40000.0</v>
      </c>
      <c r="M88" s="53">
        <v>40000.0</v>
      </c>
      <c r="N88" s="53">
        <v>30000.0</v>
      </c>
      <c r="O88" s="54"/>
      <c r="P88" s="55">
        <f>N88</f>
        <v>30000</v>
      </c>
      <c r="Q88" s="21"/>
      <c r="R88" s="21"/>
      <c r="S88" s="21"/>
      <c r="T88" s="21"/>
      <c r="U88" s="21"/>
      <c r="V88" s="21"/>
      <c r="W88" s="21"/>
      <c r="X88" s="56"/>
      <c r="Y88" s="56"/>
    </row>
    <row r="89">
      <c r="B89" s="37" t="s">
        <v>28</v>
      </c>
      <c r="C89" s="42" t="s">
        <v>272</v>
      </c>
      <c r="D89" s="42"/>
      <c r="E89" s="42" t="s">
        <v>252</v>
      </c>
      <c r="F89" s="41" t="s">
        <v>253</v>
      </c>
      <c r="G89" s="42" t="s">
        <v>290</v>
      </c>
      <c r="H89" s="57"/>
      <c r="I89" s="41"/>
      <c r="J89" s="41"/>
      <c r="K89" s="39">
        <v>46053.0</v>
      </c>
      <c r="L89" s="52">
        <f>2781711+5199671</f>
        <v>7981382</v>
      </c>
      <c r="M89" s="54">
        <v>6931780.0</v>
      </c>
      <c r="N89" s="54">
        <v>8604649.0</v>
      </c>
      <c r="O89" s="54">
        <v>9062871.0</v>
      </c>
      <c r="P89" s="55">
        <f t="shared" ref="P89:P90" si="10">M89</f>
        <v>6931780</v>
      </c>
      <c r="Q89" s="21"/>
      <c r="R89" s="21"/>
      <c r="S89" s="21"/>
      <c r="T89" s="21"/>
      <c r="U89" s="21"/>
      <c r="V89" s="21"/>
      <c r="W89" s="21"/>
      <c r="X89" s="56"/>
      <c r="Y89" s="56"/>
    </row>
    <row r="90">
      <c r="B90" s="37" t="s">
        <v>28</v>
      </c>
      <c r="C90" s="42" t="s">
        <v>272</v>
      </c>
      <c r="D90" s="42"/>
      <c r="E90" s="42" t="s">
        <v>254</v>
      </c>
      <c r="F90" s="41" t="s">
        <v>255</v>
      </c>
      <c r="G90" s="42" t="s">
        <v>290</v>
      </c>
      <c r="H90" s="57"/>
      <c r="I90" s="41"/>
      <c r="J90" s="41"/>
      <c r="K90" s="39">
        <v>46053.0</v>
      </c>
      <c r="L90" s="52">
        <v>6843920.0</v>
      </c>
      <c r="M90" s="53">
        <v>5033800.0</v>
      </c>
      <c r="N90" s="53">
        <v>9021980.0</v>
      </c>
      <c r="O90" s="53">
        <v>6434701.0</v>
      </c>
      <c r="P90" s="55">
        <f t="shared" si="10"/>
        <v>5033800</v>
      </c>
      <c r="Q90" s="21"/>
      <c r="R90" s="21"/>
      <c r="S90" s="21"/>
      <c r="T90" s="21"/>
      <c r="U90" s="21"/>
      <c r="V90" s="21"/>
      <c r="W90" s="21"/>
      <c r="X90" s="56"/>
      <c r="Y90" s="56"/>
    </row>
    <row r="91">
      <c r="B91" s="37" t="s">
        <v>28</v>
      </c>
      <c r="C91" s="42" t="s">
        <v>284</v>
      </c>
      <c r="D91" s="42"/>
      <c r="E91" s="42" t="s">
        <v>256</v>
      </c>
      <c r="F91" s="41" t="s">
        <v>257</v>
      </c>
      <c r="G91" s="42" t="s">
        <v>290</v>
      </c>
      <c r="H91" s="57"/>
      <c r="I91" s="41"/>
      <c r="J91" s="41"/>
      <c r="K91" s="39">
        <v>46053.0</v>
      </c>
      <c r="L91" s="52">
        <v>3470000.0</v>
      </c>
      <c r="M91" s="53">
        <v>3150000.0</v>
      </c>
      <c r="N91" s="53">
        <v>3870000.0</v>
      </c>
      <c r="O91" s="53">
        <v>3740000.0</v>
      </c>
      <c r="P91" s="55">
        <f>O91</f>
        <v>3740000</v>
      </c>
      <c r="Q91" s="21"/>
      <c r="R91" s="21"/>
      <c r="S91" s="21"/>
      <c r="T91" s="21"/>
      <c r="U91" s="21"/>
      <c r="V91" s="21"/>
      <c r="W91" s="21"/>
      <c r="X91" s="56"/>
      <c r="Y91" s="56"/>
    </row>
    <row r="92">
      <c r="B92" s="37" t="s">
        <v>28</v>
      </c>
      <c r="C92" s="42" t="s">
        <v>278</v>
      </c>
      <c r="D92" s="41"/>
      <c r="E92" s="41" t="s">
        <v>258</v>
      </c>
      <c r="F92" s="41" t="s">
        <v>259</v>
      </c>
      <c r="G92" s="42" t="s">
        <v>290</v>
      </c>
      <c r="H92" s="57"/>
      <c r="I92" s="41"/>
      <c r="J92" s="41"/>
      <c r="K92" s="39">
        <v>46099.0</v>
      </c>
      <c r="L92" s="54"/>
      <c r="M92" s="54"/>
      <c r="N92" s="52">
        <v>88273.0</v>
      </c>
      <c r="O92" s="54"/>
      <c r="P92" s="55"/>
      <c r="Q92" s="21"/>
      <c r="R92" s="21"/>
      <c r="S92" s="21"/>
      <c r="T92" s="21"/>
      <c r="U92" s="21"/>
      <c r="V92" s="21"/>
      <c r="W92" s="21"/>
      <c r="X92" s="56"/>
      <c r="Y92" s="56"/>
    </row>
    <row r="93">
      <c r="B93" s="37" t="s">
        <v>28</v>
      </c>
      <c r="C93" s="42" t="s">
        <v>278</v>
      </c>
      <c r="D93" s="41"/>
      <c r="E93" s="41" t="s">
        <v>260</v>
      </c>
      <c r="F93" s="41" t="s">
        <v>246</v>
      </c>
      <c r="G93" s="42" t="s">
        <v>290</v>
      </c>
      <c r="H93" s="57"/>
      <c r="I93" s="41"/>
      <c r="J93" s="41"/>
      <c r="K93" s="39">
        <v>46104.0</v>
      </c>
      <c r="L93" s="54"/>
      <c r="M93" s="54"/>
      <c r="N93" s="52">
        <v>880000.0</v>
      </c>
      <c r="O93" s="54"/>
      <c r="P93" s="55"/>
      <c r="Q93" s="21"/>
      <c r="R93" s="21"/>
      <c r="S93" s="21"/>
      <c r="T93" s="21"/>
      <c r="U93" s="21"/>
      <c r="V93" s="21"/>
      <c r="W93" s="21"/>
      <c r="X93" s="56"/>
      <c r="Y93" s="56"/>
    </row>
    <row r="94">
      <c r="B94" s="33" t="s">
        <v>30</v>
      </c>
      <c r="C94" s="33" t="s">
        <v>270</v>
      </c>
      <c r="D94" s="33" t="s">
        <v>291</v>
      </c>
      <c r="E94" s="33" t="s">
        <v>172</v>
      </c>
      <c r="F94" s="33" t="s">
        <v>126</v>
      </c>
      <c r="G94" s="34" t="s">
        <v>173</v>
      </c>
      <c r="H94" s="34"/>
      <c r="I94" s="34"/>
      <c r="J94" s="34"/>
      <c r="K94" s="24">
        <v>46023.0</v>
      </c>
      <c r="L94" s="25">
        <v>1200000.0</v>
      </c>
      <c r="M94" s="25">
        <v>1200000.0</v>
      </c>
      <c r="N94" s="25">
        <v>1200000.0</v>
      </c>
      <c r="O94" s="25">
        <v>1200000.0</v>
      </c>
      <c r="P94" s="55">
        <f t="shared" ref="P94:P100" si="11">O94</f>
        <v>1200000</v>
      </c>
      <c r="Q94" s="45"/>
      <c r="R94" s="22"/>
      <c r="X94" s="46"/>
      <c r="Y94" s="58"/>
    </row>
    <row r="95">
      <c r="B95" s="33" t="s">
        <v>30</v>
      </c>
      <c r="C95" s="33" t="s">
        <v>270</v>
      </c>
      <c r="D95" s="33" t="s">
        <v>292</v>
      </c>
      <c r="E95" s="33" t="s">
        <v>174</v>
      </c>
      <c r="F95" s="33" t="s">
        <v>175</v>
      </c>
      <c r="G95" s="34" t="s">
        <v>176</v>
      </c>
      <c r="H95" s="34"/>
      <c r="I95" s="34"/>
      <c r="J95" s="34"/>
      <c r="K95" s="24">
        <v>46023.0</v>
      </c>
      <c r="L95" s="25">
        <v>460000.0</v>
      </c>
      <c r="M95" s="25">
        <v>460000.0</v>
      </c>
      <c r="N95" s="25">
        <v>460000.0</v>
      </c>
      <c r="O95" s="25">
        <v>460000.0</v>
      </c>
      <c r="P95" s="55">
        <f t="shared" si="11"/>
        <v>460000</v>
      </c>
      <c r="Q95" s="45"/>
      <c r="R95" s="22"/>
      <c r="X95" s="46"/>
      <c r="Y95" s="58"/>
    </row>
    <row r="96">
      <c r="B96" s="33" t="s">
        <v>30</v>
      </c>
      <c r="C96" s="33" t="s">
        <v>270</v>
      </c>
      <c r="D96" s="33" t="s">
        <v>292</v>
      </c>
      <c r="E96" s="33" t="s">
        <v>177</v>
      </c>
      <c r="F96" s="33" t="s">
        <v>178</v>
      </c>
      <c r="G96" s="34" t="s">
        <v>176</v>
      </c>
      <c r="H96" s="34"/>
      <c r="I96" s="34"/>
      <c r="J96" s="34"/>
      <c r="K96" s="24">
        <v>46024.0</v>
      </c>
      <c r="L96" s="25">
        <v>367500.0</v>
      </c>
      <c r="M96" s="25">
        <v>367500.0</v>
      </c>
      <c r="N96" s="25">
        <v>367500.0</v>
      </c>
      <c r="O96" s="25">
        <v>367500.0</v>
      </c>
      <c r="P96" s="55">
        <f t="shared" si="11"/>
        <v>367500</v>
      </c>
      <c r="Q96" s="45"/>
      <c r="R96" s="22"/>
      <c r="X96" s="46"/>
      <c r="Y96" s="58"/>
    </row>
    <row r="97">
      <c r="B97" s="33" t="s">
        <v>30</v>
      </c>
      <c r="C97" s="33" t="s">
        <v>270</v>
      </c>
      <c r="D97" s="35" t="s">
        <v>293</v>
      </c>
      <c r="E97" s="35" t="s">
        <v>179</v>
      </c>
      <c r="F97" s="35" t="s">
        <v>180</v>
      </c>
      <c r="G97" s="36" t="s">
        <v>181</v>
      </c>
      <c r="H97" s="36"/>
      <c r="I97" s="36"/>
      <c r="J97" s="36"/>
      <c r="K97" s="24">
        <v>46027.0</v>
      </c>
      <c r="L97" s="25">
        <v>1700000.0</v>
      </c>
      <c r="M97" s="25">
        <v>1700000.0</v>
      </c>
      <c r="N97" s="25">
        <v>1700000.0</v>
      </c>
      <c r="O97" s="25">
        <v>1700000.0</v>
      </c>
      <c r="P97" s="55">
        <f t="shared" si="11"/>
        <v>1700000</v>
      </c>
      <c r="Q97" s="45"/>
      <c r="R97" s="22"/>
      <c r="S97" s="9"/>
      <c r="T97" s="9"/>
      <c r="U97" s="9"/>
      <c r="V97" s="9"/>
      <c r="W97" s="9"/>
      <c r="X97" s="46"/>
      <c r="Y97" s="58"/>
    </row>
    <row r="98">
      <c r="B98" s="33" t="s">
        <v>30</v>
      </c>
      <c r="C98" s="33" t="s">
        <v>270</v>
      </c>
      <c r="D98" s="35" t="s">
        <v>291</v>
      </c>
      <c r="E98" s="35" t="s">
        <v>182</v>
      </c>
      <c r="F98" s="35" t="s">
        <v>183</v>
      </c>
      <c r="G98" s="36" t="s">
        <v>176</v>
      </c>
      <c r="H98" s="36"/>
      <c r="I98" s="36"/>
      <c r="J98" s="36"/>
      <c r="K98" s="24">
        <v>46027.0</v>
      </c>
      <c r="L98" s="25">
        <v>1500000.0</v>
      </c>
      <c r="M98" s="25">
        <v>1500000.0</v>
      </c>
      <c r="N98" s="25">
        <v>1500000.0</v>
      </c>
      <c r="O98" s="25">
        <v>1500000.0</v>
      </c>
      <c r="P98" s="55">
        <f t="shared" si="11"/>
        <v>1500000</v>
      </c>
      <c r="Q98" s="45"/>
      <c r="R98" s="22"/>
      <c r="X98" s="46"/>
      <c r="Y98" s="46"/>
    </row>
    <row r="99">
      <c r="B99" s="33" t="s">
        <v>30</v>
      </c>
      <c r="C99" s="33" t="s">
        <v>270</v>
      </c>
      <c r="D99" s="35" t="s">
        <v>291</v>
      </c>
      <c r="E99" s="35" t="s">
        <v>184</v>
      </c>
      <c r="F99" s="35" t="s">
        <v>183</v>
      </c>
      <c r="G99" s="36" t="s">
        <v>176</v>
      </c>
      <c r="H99" s="36"/>
      <c r="I99" s="36"/>
      <c r="J99" s="36"/>
      <c r="K99" s="24">
        <v>46027.0</v>
      </c>
      <c r="L99" s="25">
        <v>1.52E7</v>
      </c>
      <c r="M99" s="25">
        <v>1.52E7</v>
      </c>
      <c r="N99" s="25">
        <v>1.52E7</v>
      </c>
      <c r="O99" s="25">
        <v>1.52E7</v>
      </c>
      <c r="P99" s="55">
        <f t="shared" si="11"/>
        <v>15200000</v>
      </c>
      <c r="Q99" s="45"/>
      <c r="R99" s="22"/>
      <c r="X99" s="46"/>
      <c r="Y99" s="46"/>
    </row>
    <row r="100">
      <c r="B100" s="33" t="s">
        <v>30</v>
      </c>
      <c r="C100" s="33" t="s">
        <v>270</v>
      </c>
      <c r="D100" s="35" t="s">
        <v>291</v>
      </c>
      <c r="E100" s="35" t="s">
        <v>185</v>
      </c>
      <c r="F100" s="35" t="s">
        <v>183</v>
      </c>
      <c r="G100" s="36" t="s">
        <v>176</v>
      </c>
      <c r="H100" s="36"/>
      <c r="I100" s="36"/>
      <c r="J100" s="36"/>
      <c r="K100" s="24">
        <v>46027.0</v>
      </c>
      <c r="L100" s="25">
        <v>1013000.0</v>
      </c>
      <c r="M100" s="25">
        <v>1013000.0</v>
      </c>
      <c r="N100" s="25">
        <v>1013000.0</v>
      </c>
      <c r="O100" s="25">
        <v>1013000.0</v>
      </c>
      <c r="P100" s="55">
        <f t="shared" si="11"/>
        <v>1013000</v>
      </c>
      <c r="Q100" s="45"/>
      <c r="R100" s="22"/>
      <c r="X100" s="46"/>
      <c r="Y100" s="46"/>
    </row>
    <row r="101">
      <c r="B101" s="33" t="s">
        <v>30</v>
      </c>
      <c r="C101" s="35" t="s">
        <v>275</v>
      </c>
      <c r="D101" s="35" t="s">
        <v>294</v>
      </c>
      <c r="E101" s="35" t="s">
        <v>186</v>
      </c>
      <c r="F101" s="35" t="s">
        <v>86</v>
      </c>
      <c r="G101" s="36" t="s">
        <v>187</v>
      </c>
      <c r="H101" s="36"/>
      <c r="I101" s="36"/>
      <c r="J101" s="36"/>
      <c r="K101" s="24">
        <v>46027.0</v>
      </c>
      <c r="L101" s="25">
        <v>85000.0</v>
      </c>
      <c r="M101" s="25">
        <v>139200.0</v>
      </c>
      <c r="N101" s="25">
        <v>165000.0</v>
      </c>
      <c r="O101" s="25">
        <v>92720.0</v>
      </c>
      <c r="P101" s="59">
        <v>120000.0</v>
      </c>
      <c r="Q101" s="45"/>
      <c r="R101" s="22"/>
      <c r="X101" s="46"/>
      <c r="Y101" s="46"/>
    </row>
    <row r="102">
      <c r="B102" s="33" t="s">
        <v>30</v>
      </c>
      <c r="C102" s="35" t="s">
        <v>272</v>
      </c>
      <c r="D102" s="35" t="s">
        <v>208</v>
      </c>
      <c r="E102" s="35" t="s">
        <v>188</v>
      </c>
      <c r="F102" s="35" t="s">
        <v>189</v>
      </c>
      <c r="G102" s="36" t="s">
        <v>176</v>
      </c>
      <c r="H102" s="36"/>
      <c r="I102" s="36"/>
      <c r="J102" s="36"/>
      <c r="K102" s="24">
        <v>46027.0</v>
      </c>
      <c r="L102" s="25">
        <v>2231250.0</v>
      </c>
      <c r="M102" s="25">
        <v>2625000.0</v>
      </c>
      <c r="N102" s="25">
        <v>525000.0</v>
      </c>
      <c r="O102" s="25">
        <v>3500000.0</v>
      </c>
      <c r="P102" s="44">
        <v>2200000.0</v>
      </c>
      <c r="Q102" s="45"/>
      <c r="R102" s="22"/>
      <c r="X102" s="46"/>
      <c r="Y102" s="46"/>
    </row>
    <row r="103">
      <c r="B103" s="33" t="s">
        <v>30</v>
      </c>
      <c r="C103" s="35" t="s">
        <v>270</v>
      </c>
      <c r="D103" s="35" t="s">
        <v>295</v>
      </c>
      <c r="E103" s="35" t="s">
        <v>190</v>
      </c>
      <c r="F103" s="35" t="s">
        <v>191</v>
      </c>
      <c r="G103" s="36" t="s">
        <v>192</v>
      </c>
      <c r="H103" s="36"/>
      <c r="I103" s="36"/>
      <c r="J103" s="36"/>
      <c r="K103" s="24">
        <v>46031.0</v>
      </c>
      <c r="L103" s="25">
        <v>3500000.0</v>
      </c>
      <c r="M103" s="25">
        <v>2900000.0</v>
      </c>
      <c r="N103" s="25">
        <v>3500000.0</v>
      </c>
      <c r="O103" s="25">
        <v>3500000.0</v>
      </c>
      <c r="P103" s="44">
        <v>3350000.0</v>
      </c>
      <c r="Q103" s="45"/>
      <c r="R103" s="22"/>
      <c r="X103" s="46"/>
      <c r="Y103" s="46"/>
    </row>
    <row r="104">
      <c r="A104" s="22"/>
      <c r="B104" s="33" t="s">
        <v>30</v>
      </c>
      <c r="C104" s="35" t="s">
        <v>275</v>
      </c>
      <c r="D104" s="35" t="s">
        <v>296</v>
      </c>
      <c r="E104" s="35" t="s">
        <v>193</v>
      </c>
      <c r="F104" s="35" t="s">
        <v>194</v>
      </c>
      <c r="G104" s="36" t="s">
        <v>176</v>
      </c>
      <c r="H104" s="36"/>
      <c r="I104" s="36"/>
      <c r="J104" s="36"/>
      <c r="K104" s="24">
        <v>46032.0</v>
      </c>
      <c r="L104" s="25">
        <v>2.303564E7</v>
      </c>
      <c r="M104" s="25">
        <v>1.708815E7</v>
      </c>
      <c r="N104" s="25">
        <v>1.636434E7</v>
      </c>
      <c r="O104" s="25">
        <v>2.530938E7</v>
      </c>
      <c r="P104" s="44">
        <v>2.2E7</v>
      </c>
      <c r="Q104" s="45"/>
      <c r="R104" s="22"/>
      <c r="X104" s="46"/>
      <c r="Y104" s="46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</row>
    <row r="105">
      <c r="A105" s="22"/>
      <c r="B105" s="33" t="s">
        <v>30</v>
      </c>
      <c r="C105" s="35" t="s">
        <v>275</v>
      </c>
      <c r="D105" s="35" t="s">
        <v>296</v>
      </c>
      <c r="E105" s="35" t="s">
        <v>195</v>
      </c>
      <c r="F105" s="35" t="s">
        <v>194</v>
      </c>
      <c r="G105" s="36" t="s">
        <v>173</v>
      </c>
      <c r="H105" s="36"/>
      <c r="I105" s="36"/>
      <c r="J105" s="36"/>
      <c r="K105" s="24">
        <v>46032.0</v>
      </c>
      <c r="L105" s="25">
        <v>6801660.0</v>
      </c>
      <c r="M105" s="25">
        <v>6997530.0</v>
      </c>
      <c r="N105" s="25">
        <v>6543450.0</v>
      </c>
      <c r="O105" s="25">
        <v>7307900.0</v>
      </c>
      <c r="P105" s="44">
        <v>6940000.0</v>
      </c>
      <c r="Q105" s="45"/>
      <c r="R105" s="22"/>
      <c r="X105" s="46"/>
      <c r="Y105" s="46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>
      <c r="A106" s="22"/>
      <c r="B106" s="33" t="s">
        <v>30</v>
      </c>
      <c r="C106" s="35" t="s">
        <v>278</v>
      </c>
      <c r="D106" s="35" t="s">
        <v>297</v>
      </c>
      <c r="E106" s="35" t="s">
        <v>196</v>
      </c>
      <c r="F106" s="35" t="s">
        <v>197</v>
      </c>
      <c r="G106" s="36" t="s">
        <v>187</v>
      </c>
      <c r="H106" s="36"/>
      <c r="I106" s="36"/>
      <c r="J106" s="36"/>
      <c r="K106" s="24">
        <v>46036.0</v>
      </c>
      <c r="L106" s="25">
        <v>1.0E7</v>
      </c>
      <c r="M106" s="27"/>
      <c r="N106" s="27"/>
      <c r="O106" s="27"/>
      <c r="P106" s="47"/>
      <c r="Q106" s="45"/>
      <c r="R106" s="22"/>
      <c r="X106" s="46"/>
      <c r="Y106" s="46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>
      <c r="A107" s="22"/>
      <c r="B107" s="33" t="s">
        <v>30</v>
      </c>
      <c r="C107" s="35" t="s">
        <v>272</v>
      </c>
      <c r="D107" s="35" t="s">
        <v>298</v>
      </c>
      <c r="E107" s="35" t="s">
        <v>198</v>
      </c>
      <c r="F107" s="35" t="s">
        <v>199</v>
      </c>
      <c r="G107" s="36" t="s">
        <v>176</v>
      </c>
      <c r="H107" s="36"/>
      <c r="I107" s="36"/>
      <c r="J107" s="36"/>
      <c r="K107" s="24">
        <v>46036.0</v>
      </c>
      <c r="L107" s="25">
        <v>5118691.0</v>
      </c>
      <c r="M107" s="25">
        <v>7839631.0</v>
      </c>
      <c r="N107" s="27"/>
      <c r="O107" s="25">
        <v>4365111.0</v>
      </c>
      <c r="P107" s="47">
        <f t="shared" ref="P107:P113" si="12">O107</f>
        <v>4365111</v>
      </c>
      <c r="Q107" s="45"/>
      <c r="R107" s="22"/>
      <c r="X107" s="46"/>
      <c r="Y107" s="46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>
      <c r="A108" s="22"/>
      <c r="B108" s="33" t="s">
        <v>30</v>
      </c>
      <c r="C108" s="35" t="s">
        <v>272</v>
      </c>
      <c r="D108" s="35" t="s">
        <v>298</v>
      </c>
      <c r="E108" s="35" t="s">
        <v>198</v>
      </c>
      <c r="F108" s="35" t="s">
        <v>199</v>
      </c>
      <c r="G108" s="36" t="s">
        <v>192</v>
      </c>
      <c r="H108" s="36"/>
      <c r="I108" s="36"/>
      <c r="J108" s="36"/>
      <c r="K108" s="24">
        <v>46036.0</v>
      </c>
      <c r="L108" s="25">
        <v>2707951.0</v>
      </c>
      <c r="M108" s="25">
        <v>2983909.0</v>
      </c>
      <c r="N108" s="25">
        <v>3405438.0</v>
      </c>
      <c r="O108" s="25">
        <v>3718937.0</v>
      </c>
      <c r="P108" s="47">
        <f t="shared" si="12"/>
        <v>3718937</v>
      </c>
      <c r="Q108" s="45"/>
      <c r="R108" s="22"/>
      <c r="X108" s="46"/>
      <c r="Y108" s="46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</row>
    <row r="109">
      <c r="B109" s="33" t="s">
        <v>30</v>
      </c>
      <c r="C109" s="35" t="s">
        <v>272</v>
      </c>
      <c r="D109" s="35" t="s">
        <v>299</v>
      </c>
      <c r="E109" s="35" t="s">
        <v>200</v>
      </c>
      <c r="F109" s="35" t="s">
        <v>300</v>
      </c>
      <c r="G109" s="36" t="s">
        <v>192</v>
      </c>
      <c r="H109" s="36"/>
      <c r="I109" s="36"/>
      <c r="J109" s="36"/>
      <c r="K109" s="24">
        <v>46037.0</v>
      </c>
      <c r="L109" s="25">
        <v>8976870.0</v>
      </c>
      <c r="M109" s="25">
        <v>8772225.0</v>
      </c>
      <c r="N109" s="25">
        <v>8840265.0</v>
      </c>
      <c r="O109" s="25">
        <v>9412200.0</v>
      </c>
      <c r="P109" s="47">
        <f t="shared" si="12"/>
        <v>9412200</v>
      </c>
      <c r="Q109" s="45"/>
      <c r="R109" s="22"/>
      <c r="X109" s="46"/>
      <c r="Y109" s="46"/>
    </row>
    <row r="110">
      <c r="B110" s="33" t="s">
        <v>30</v>
      </c>
      <c r="C110" s="35" t="s">
        <v>275</v>
      </c>
      <c r="D110" s="35" t="s">
        <v>291</v>
      </c>
      <c r="E110" s="35" t="s">
        <v>203</v>
      </c>
      <c r="F110" s="35" t="s">
        <v>204</v>
      </c>
      <c r="G110" s="36" t="s">
        <v>173</v>
      </c>
      <c r="H110" s="36"/>
      <c r="I110" s="36"/>
      <c r="J110" s="36"/>
      <c r="K110" s="24">
        <v>46042.0</v>
      </c>
      <c r="L110" s="25">
        <v>1.6522E7</v>
      </c>
      <c r="M110" s="25">
        <v>1.81504E7</v>
      </c>
      <c r="N110" s="25">
        <v>1.73322E7</v>
      </c>
      <c r="O110" s="25">
        <v>1.88E7</v>
      </c>
      <c r="P110" s="47">
        <f t="shared" si="12"/>
        <v>18800000</v>
      </c>
      <c r="Q110" s="45"/>
      <c r="R110" s="22"/>
      <c r="X110" s="46"/>
      <c r="Y110" s="46"/>
    </row>
    <row r="111">
      <c r="B111" s="33" t="s">
        <v>30</v>
      </c>
      <c r="C111" s="35" t="s">
        <v>270</v>
      </c>
      <c r="D111" s="35" t="s">
        <v>295</v>
      </c>
      <c r="E111" s="35" t="s">
        <v>301</v>
      </c>
      <c r="F111" s="35" t="s">
        <v>197</v>
      </c>
      <c r="G111" s="36" t="s">
        <v>192</v>
      </c>
      <c r="H111" s="36"/>
      <c r="I111" s="36"/>
      <c r="J111" s="36"/>
      <c r="K111" s="24">
        <v>46052.0</v>
      </c>
      <c r="L111" s="25">
        <v>630000.0</v>
      </c>
      <c r="M111" s="25">
        <v>630000.0</v>
      </c>
      <c r="N111" s="25">
        <v>630000.0</v>
      </c>
      <c r="O111" s="25">
        <v>630000.0</v>
      </c>
      <c r="P111" s="47">
        <f t="shared" si="12"/>
        <v>630000</v>
      </c>
      <c r="Q111" s="45"/>
      <c r="R111" s="22"/>
      <c r="X111" s="46"/>
      <c r="Y111" s="46"/>
    </row>
    <row r="112">
      <c r="B112" s="33" t="s">
        <v>30</v>
      </c>
      <c r="C112" s="35" t="s">
        <v>272</v>
      </c>
      <c r="D112" s="35" t="s">
        <v>302</v>
      </c>
      <c r="E112" s="35" t="s">
        <v>206</v>
      </c>
      <c r="F112" s="35" t="s">
        <v>207</v>
      </c>
      <c r="G112" s="36" t="s">
        <v>208</v>
      </c>
      <c r="H112" s="36"/>
      <c r="I112" s="36"/>
      <c r="J112" s="36"/>
      <c r="K112" s="24">
        <v>46052.0</v>
      </c>
      <c r="L112" s="25">
        <v>2254545.0</v>
      </c>
      <c r="M112" s="25">
        <v>9127273.0</v>
      </c>
      <c r="N112" s="25">
        <v>2727273.0</v>
      </c>
      <c r="O112" s="25">
        <v>2727273.0</v>
      </c>
      <c r="P112" s="47">
        <f t="shared" si="12"/>
        <v>2727273</v>
      </c>
      <c r="Q112" s="45"/>
      <c r="R112" s="22"/>
      <c r="X112" s="46"/>
      <c r="Y112" s="46"/>
    </row>
    <row r="113">
      <c r="B113" s="33" t="s">
        <v>30</v>
      </c>
      <c r="C113" s="35" t="s">
        <v>270</v>
      </c>
      <c r="D113" s="35" t="s">
        <v>303</v>
      </c>
      <c r="E113" s="35" t="s">
        <v>209</v>
      </c>
      <c r="F113" s="35" t="s">
        <v>210</v>
      </c>
      <c r="G113" s="36" t="s">
        <v>187</v>
      </c>
      <c r="H113" s="36"/>
      <c r="I113" s="36"/>
      <c r="J113" s="36"/>
      <c r="K113" s="24">
        <v>46052.0</v>
      </c>
      <c r="L113" s="25">
        <v>1.6666E7</v>
      </c>
      <c r="M113" s="25">
        <v>1.6666E7</v>
      </c>
      <c r="N113" s="25">
        <v>1.6666E7</v>
      </c>
      <c r="O113" s="25">
        <v>1.6666E7</v>
      </c>
      <c r="P113" s="47">
        <f t="shared" si="12"/>
        <v>16666000</v>
      </c>
      <c r="Q113" s="45"/>
      <c r="R113" s="22"/>
      <c r="X113" s="46"/>
      <c r="Y113" s="46"/>
    </row>
    <row r="114">
      <c r="B114" s="33" t="s">
        <v>30</v>
      </c>
      <c r="C114" s="35" t="s">
        <v>274</v>
      </c>
      <c r="D114" s="35" t="s">
        <v>304</v>
      </c>
      <c r="E114" s="35" t="s">
        <v>211</v>
      </c>
      <c r="F114" s="35" t="s">
        <v>212</v>
      </c>
      <c r="G114" s="36" t="s">
        <v>173</v>
      </c>
      <c r="H114" s="36"/>
      <c r="I114" s="36"/>
      <c r="J114" s="36"/>
      <c r="K114" s="24">
        <v>46078.0</v>
      </c>
      <c r="L114" s="27"/>
      <c r="M114" s="25">
        <v>1.25E7</v>
      </c>
      <c r="N114" s="27"/>
      <c r="O114" s="27"/>
      <c r="P114" s="47"/>
      <c r="Q114" s="45"/>
      <c r="R114" s="22"/>
      <c r="X114" s="46"/>
      <c r="Y114" s="46"/>
    </row>
    <row r="115">
      <c r="B115" s="33" t="s">
        <v>30</v>
      </c>
      <c r="C115" s="35" t="s">
        <v>272</v>
      </c>
      <c r="D115" s="35" t="s">
        <v>304</v>
      </c>
      <c r="E115" s="35" t="s">
        <v>213</v>
      </c>
      <c r="F115" s="35" t="s">
        <v>214</v>
      </c>
      <c r="G115" s="36" t="s">
        <v>173</v>
      </c>
      <c r="H115" s="36"/>
      <c r="I115" s="36"/>
      <c r="J115" s="36"/>
      <c r="K115" s="24">
        <v>46052.0</v>
      </c>
      <c r="L115" s="25">
        <v>1.43E7</v>
      </c>
      <c r="M115" s="25">
        <v>1.065E7</v>
      </c>
      <c r="N115" s="25">
        <v>4950000.0</v>
      </c>
      <c r="O115" s="25">
        <v>7900000.0</v>
      </c>
      <c r="P115" s="44">
        <v>9450000.0</v>
      </c>
      <c r="Q115" s="45"/>
      <c r="R115" s="22"/>
      <c r="X115" s="46"/>
      <c r="Y115" s="46"/>
    </row>
    <row r="116">
      <c r="B116" s="33" t="s">
        <v>30</v>
      </c>
      <c r="C116" s="35" t="s">
        <v>275</v>
      </c>
      <c r="D116" s="35" t="s">
        <v>291</v>
      </c>
      <c r="E116" s="35" t="s">
        <v>215</v>
      </c>
      <c r="F116" s="35" t="s">
        <v>126</v>
      </c>
      <c r="G116" s="36" t="s">
        <v>181</v>
      </c>
      <c r="H116" s="36"/>
      <c r="I116" s="36"/>
      <c r="J116" s="36"/>
      <c r="K116" s="24">
        <v>46053.0</v>
      </c>
      <c r="L116" s="25">
        <v>1900000.0</v>
      </c>
      <c r="M116" s="25">
        <v>1900000.0</v>
      </c>
      <c r="N116" s="25">
        <v>2050000.0</v>
      </c>
      <c r="O116" s="25">
        <v>2050000.0</v>
      </c>
      <c r="P116" s="47">
        <f t="shared" ref="P116:P120" si="13">O116</f>
        <v>2050000</v>
      </c>
      <c r="Q116" s="45"/>
      <c r="R116" s="22"/>
      <c r="X116" s="46"/>
      <c r="Y116" s="46"/>
    </row>
    <row r="117">
      <c r="B117" s="33" t="s">
        <v>30</v>
      </c>
      <c r="C117" s="35" t="s">
        <v>270</v>
      </c>
      <c r="D117" s="35" t="s">
        <v>305</v>
      </c>
      <c r="E117" s="35" t="s">
        <v>216</v>
      </c>
      <c r="F117" s="35" t="s">
        <v>217</v>
      </c>
      <c r="G117" s="36" t="s">
        <v>173</v>
      </c>
      <c r="H117" s="36" t="s">
        <v>269</v>
      </c>
      <c r="I117" s="36"/>
      <c r="J117" s="36"/>
      <c r="K117" s="24">
        <v>46053.0</v>
      </c>
      <c r="L117" s="25">
        <v>2595900.0</v>
      </c>
      <c r="M117" s="25">
        <v>2922260.0</v>
      </c>
      <c r="N117" s="25">
        <v>3586020.0</v>
      </c>
      <c r="O117" s="25">
        <v>4088660.0</v>
      </c>
      <c r="P117" s="47">
        <f t="shared" si="13"/>
        <v>4088660</v>
      </c>
      <c r="Q117" s="45"/>
      <c r="R117" s="22"/>
      <c r="X117" s="46"/>
      <c r="Y117" s="46"/>
    </row>
    <row r="118">
      <c r="B118" s="33" t="s">
        <v>30</v>
      </c>
      <c r="C118" s="35" t="s">
        <v>270</v>
      </c>
      <c r="D118" s="35" t="s">
        <v>306</v>
      </c>
      <c r="E118" s="35" t="s">
        <v>218</v>
      </c>
      <c r="F118" s="35" t="s">
        <v>219</v>
      </c>
      <c r="G118" s="36" t="s">
        <v>181</v>
      </c>
      <c r="H118" s="60" t="s">
        <v>307</v>
      </c>
      <c r="I118" s="36"/>
      <c r="J118" s="36"/>
      <c r="K118" s="24">
        <v>46053.0</v>
      </c>
      <c r="L118" s="25">
        <v>2000000.0</v>
      </c>
      <c r="M118" s="25">
        <v>2000000.0</v>
      </c>
      <c r="N118" s="25">
        <v>2000000.0</v>
      </c>
      <c r="O118" s="25">
        <v>2000000.0</v>
      </c>
      <c r="P118" s="47">
        <f t="shared" si="13"/>
        <v>2000000</v>
      </c>
      <c r="Q118" s="45"/>
      <c r="R118" s="22"/>
      <c r="X118" s="46"/>
      <c r="Y118" s="46"/>
    </row>
    <row r="119">
      <c r="B119" s="33" t="s">
        <v>30</v>
      </c>
      <c r="C119" s="35" t="s">
        <v>270</v>
      </c>
      <c r="D119" s="35" t="s">
        <v>308</v>
      </c>
      <c r="E119" s="35" t="s">
        <v>220</v>
      </c>
      <c r="F119" s="35" t="s">
        <v>221</v>
      </c>
      <c r="G119" s="36" t="s">
        <v>187</v>
      </c>
      <c r="H119" s="36"/>
      <c r="I119" s="36"/>
      <c r="J119" s="36"/>
      <c r="K119" s="24">
        <v>46053.0</v>
      </c>
      <c r="L119" s="25">
        <v>1256416.0</v>
      </c>
      <c r="M119" s="25">
        <v>1252300.0</v>
      </c>
      <c r="N119" s="25">
        <v>1252273.0</v>
      </c>
      <c r="O119" s="25">
        <v>1252164.0</v>
      </c>
      <c r="P119" s="47">
        <f t="shared" si="13"/>
        <v>1252164</v>
      </c>
      <c r="Q119" s="45"/>
      <c r="R119" s="22"/>
      <c r="X119" s="46"/>
      <c r="Y119" s="46"/>
    </row>
    <row r="120">
      <c r="B120" s="33" t="s">
        <v>30</v>
      </c>
      <c r="C120" s="35" t="s">
        <v>270</v>
      </c>
      <c r="D120" s="35"/>
      <c r="E120" s="35" t="s">
        <v>222</v>
      </c>
      <c r="F120" s="35" t="s">
        <v>223</v>
      </c>
      <c r="G120" s="36" t="s">
        <v>181</v>
      </c>
      <c r="H120" s="36"/>
      <c r="I120" s="36"/>
      <c r="J120" s="36"/>
      <c r="K120" s="24">
        <v>46053.0</v>
      </c>
      <c r="L120" s="25">
        <v>580000.0</v>
      </c>
      <c r="M120" s="25">
        <v>580000.0</v>
      </c>
      <c r="N120" s="25">
        <v>580000.0</v>
      </c>
      <c r="O120" s="25">
        <v>580000.0</v>
      </c>
      <c r="P120" s="47">
        <f t="shared" si="13"/>
        <v>580000</v>
      </c>
      <c r="Q120" s="45"/>
      <c r="R120" s="22"/>
      <c r="X120" s="46"/>
      <c r="Y120" s="46"/>
    </row>
    <row r="121">
      <c r="B121" s="33" t="s">
        <v>30</v>
      </c>
      <c r="C121" s="35" t="s">
        <v>272</v>
      </c>
      <c r="D121" s="35" t="s">
        <v>309</v>
      </c>
      <c r="E121" s="35" t="s">
        <v>310</v>
      </c>
      <c r="F121" s="35" t="s">
        <v>225</v>
      </c>
      <c r="G121" s="36" t="s">
        <v>176</v>
      </c>
      <c r="H121" s="36"/>
      <c r="I121" s="36"/>
      <c r="J121" s="36"/>
      <c r="K121" s="24">
        <v>46053.0</v>
      </c>
      <c r="L121" s="25">
        <v>4556800.0</v>
      </c>
      <c r="M121" s="25">
        <v>7127240.0</v>
      </c>
      <c r="N121" s="25">
        <v>8981540.0</v>
      </c>
      <c r="O121" s="25">
        <v>7159700.0</v>
      </c>
      <c r="P121" s="44">
        <v>7000000.0</v>
      </c>
      <c r="Q121" s="45"/>
      <c r="R121" s="22"/>
      <c r="X121" s="46"/>
      <c r="Y121" s="46"/>
    </row>
    <row r="122">
      <c r="B122" s="33" t="s">
        <v>30</v>
      </c>
      <c r="C122" s="35" t="s">
        <v>275</v>
      </c>
      <c r="D122" s="35" t="s">
        <v>311</v>
      </c>
      <c r="E122" s="35" t="s">
        <v>226</v>
      </c>
      <c r="F122" s="35" t="s">
        <v>227</v>
      </c>
      <c r="G122" s="36" t="s">
        <v>181</v>
      </c>
      <c r="H122" s="36"/>
      <c r="I122" s="36"/>
      <c r="J122" s="36"/>
      <c r="K122" s="24">
        <v>46053.0</v>
      </c>
      <c r="L122" s="25">
        <v>3.7009E7</v>
      </c>
      <c r="M122" s="25">
        <v>3.8087E7</v>
      </c>
      <c r="N122" s="25">
        <v>3.8282E7</v>
      </c>
      <c r="O122" s="25">
        <v>3.636E7</v>
      </c>
      <c r="P122" s="47">
        <f>O122</f>
        <v>36360000</v>
      </c>
      <c r="Q122" s="45"/>
      <c r="R122" s="22"/>
      <c r="X122" s="46"/>
      <c r="Y122" s="46"/>
    </row>
    <row r="123">
      <c r="B123" s="33" t="s">
        <v>30</v>
      </c>
      <c r="C123" s="35" t="s">
        <v>272</v>
      </c>
      <c r="D123" s="35" t="s">
        <v>312</v>
      </c>
      <c r="E123" s="35" t="s">
        <v>228</v>
      </c>
      <c r="F123" s="35" t="s">
        <v>229</v>
      </c>
      <c r="G123" s="36" t="s">
        <v>173</v>
      </c>
      <c r="H123" s="36"/>
      <c r="I123" s="36"/>
      <c r="J123" s="36"/>
      <c r="K123" s="24">
        <v>46053.0</v>
      </c>
      <c r="L123" s="25">
        <v>1.9666416E7</v>
      </c>
      <c r="M123" s="25">
        <v>8381007.0</v>
      </c>
      <c r="N123" s="25">
        <v>1.960632E7</v>
      </c>
      <c r="O123" s="25">
        <v>7887695.0</v>
      </c>
      <c r="P123" s="44">
        <v>1.3885E7</v>
      </c>
      <c r="Q123" s="45"/>
      <c r="R123" s="22"/>
      <c r="X123" s="46"/>
      <c r="Y123" s="46"/>
    </row>
    <row r="124">
      <c r="B124" s="33" t="s">
        <v>30</v>
      </c>
      <c r="C124" s="35" t="s">
        <v>272</v>
      </c>
      <c r="D124" s="35" t="s">
        <v>303</v>
      </c>
      <c r="E124" s="35" t="s">
        <v>313</v>
      </c>
      <c r="F124" s="35" t="s">
        <v>231</v>
      </c>
      <c r="G124" s="36" t="s">
        <v>181</v>
      </c>
      <c r="H124" s="36"/>
      <c r="I124" s="36"/>
      <c r="J124" s="36"/>
      <c r="K124" s="24">
        <v>46057.0</v>
      </c>
      <c r="L124" s="27"/>
      <c r="M124" s="25">
        <v>2150000.0</v>
      </c>
      <c r="N124" s="27"/>
      <c r="O124" s="25">
        <v>3400000.0</v>
      </c>
      <c r="P124" s="47"/>
      <c r="Q124" s="45"/>
      <c r="R124" s="22"/>
      <c r="X124" s="46"/>
      <c r="Y124" s="46"/>
    </row>
    <row r="125">
      <c r="B125" s="33" t="s">
        <v>30</v>
      </c>
      <c r="C125" s="35" t="s">
        <v>314</v>
      </c>
      <c r="D125" s="35" t="s">
        <v>295</v>
      </c>
      <c r="E125" s="35" t="s">
        <v>232</v>
      </c>
      <c r="F125" s="35" t="s">
        <v>191</v>
      </c>
      <c r="G125" s="36" t="s">
        <v>181</v>
      </c>
      <c r="H125" s="36"/>
      <c r="I125" s="36"/>
      <c r="J125" s="36"/>
      <c r="K125" s="24">
        <v>46062.0</v>
      </c>
      <c r="L125" s="27"/>
      <c r="M125" s="25">
        <v>960000.0</v>
      </c>
      <c r="N125" s="27"/>
      <c r="O125" s="27"/>
      <c r="P125" s="47"/>
      <c r="Q125" s="45"/>
      <c r="R125" s="22"/>
      <c r="X125" s="46"/>
      <c r="Y125" s="46"/>
    </row>
    <row r="126">
      <c r="B126" s="33" t="s">
        <v>30</v>
      </c>
      <c r="C126" s="35" t="s">
        <v>275</v>
      </c>
      <c r="D126" s="35" t="s">
        <v>299</v>
      </c>
      <c r="E126" s="35" t="s">
        <v>233</v>
      </c>
      <c r="F126" s="35" t="s">
        <v>201</v>
      </c>
      <c r="G126" s="36" t="s">
        <v>176</v>
      </c>
      <c r="H126" s="36"/>
      <c r="I126" s="36"/>
      <c r="J126" s="36"/>
      <c r="K126" s="24">
        <v>46073.0</v>
      </c>
      <c r="L126" s="26">
        <v>3000000.0</v>
      </c>
      <c r="M126" s="25">
        <v>3000000.0</v>
      </c>
      <c r="N126" s="25">
        <v>3000000.0</v>
      </c>
      <c r="O126" s="25">
        <v>3321035.0</v>
      </c>
      <c r="P126" s="47">
        <f>N126</f>
        <v>3000000</v>
      </c>
      <c r="Q126" s="45"/>
      <c r="R126" s="22"/>
      <c r="X126" s="46"/>
      <c r="Y126" s="46"/>
    </row>
    <row r="127">
      <c r="B127" s="33" t="s">
        <v>30</v>
      </c>
      <c r="C127" s="35" t="s">
        <v>286</v>
      </c>
      <c r="D127" s="35" t="s">
        <v>294</v>
      </c>
      <c r="E127" s="35" t="s">
        <v>234</v>
      </c>
      <c r="F127" s="35" t="s">
        <v>235</v>
      </c>
      <c r="G127" s="36" t="s">
        <v>187</v>
      </c>
      <c r="H127" s="36"/>
      <c r="I127" s="36"/>
      <c r="J127" s="36"/>
      <c r="K127" s="24">
        <v>46098.0</v>
      </c>
      <c r="L127" s="27"/>
      <c r="M127" s="27"/>
      <c r="N127" s="25">
        <v>2000000.0</v>
      </c>
      <c r="O127" s="27"/>
      <c r="P127" s="47"/>
      <c r="Q127" s="45"/>
      <c r="R127" s="22"/>
      <c r="X127" s="46"/>
      <c r="Y127" s="46"/>
    </row>
    <row r="128">
      <c r="B128" s="33" t="s">
        <v>30</v>
      </c>
      <c r="C128" s="35" t="s">
        <v>315</v>
      </c>
      <c r="D128" s="35" t="s">
        <v>302</v>
      </c>
      <c r="E128" s="35" t="s">
        <v>316</v>
      </c>
      <c r="F128" s="35" t="s">
        <v>207</v>
      </c>
      <c r="G128" s="36" t="s">
        <v>208</v>
      </c>
      <c r="H128" s="36"/>
      <c r="I128" s="36"/>
      <c r="J128" s="36"/>
      <c r="K128" s="24">
        <v>46112.0</v>
      </c>
      <c r="L128" s="27"/>
      <c r="M128" s="27"/>
      <c r="N128" s="25">
        <v>1981883.0</v>
      </c>
      <c r="O128" s="27"/>
      <c r="P128" s="47"/>
      <c r="Q128" s="45"/>
      <c r="R128" s="22"/>
      <c r="X128" s="46"/>
      <c r="Y128" s="46"/>
    </row>
    <row r="129">
      <c r="B129" s="33" t="s">
        <v>30</v>
      </c>
      <c r="C129" s="35" t="s">
        <v>270</v>
      </c>
      <c r="D129" s="35" t="s">
        <v>292</v>
      </c>
      <c r="E129" s="35" t="s">
        <v>317</v>
      </c>
      <c r="F129" s="35" t="s">
        <v>48</v>
      </c>
      <c r="G129" s="36" t="s">
        <v>176</v>
      </c>
      <c r="H129" s="36"/>
      <c r="I129" s="36"/>
      <c r="J129" s="36"/>
      <c r="K129" s="24">
        <v>46113.0</v>
      </c>
      <c r="L129" s="25">
        <v>111000.0</v>
      </c>
      <c r="M129" s="26">
        <v>109500.0</v>
      </c>
      <c r="N129" s="26">
        <v>109500.0</v>
      </c>
      <c r="O129" s="25">
        <v>109500.0</v>
      </c>
      <c r="P129" s="47">
        <f>O129</f>
        <v>109500</v>
      </c>
      <c r="Q129" s="45"/>
      <c r="R129" s="22"/>
      <c r="X129" s="46"/>
      <c r="Y129" s="46"/>
    </row>
    <row r="130">
      <c r="B130" s="33" t="s">
        <v>30</v>
      </c>
      <c r="C130" s="35" t="s">
        <v>286</v>
      </c>
      <c r="D130" s="35" t="s">
        <v>306</v>
      </c>
      <c r="E130" s="35" t="s">
        <v>238</v>
      </c>
      <c r="F130" s="35" t="s">
        <v>239</v>
      </c>
      <c r="G130" s="36" t="s">
        <v>187</v>
      </c>
      <c r="H130" s="36"/>
      <c r="I130" s="36"/>
      <c r="J130" s="36"/>
      <c r="K130" s="24">
        <v>46133.0</v>
      </c>
      <c r="L130" s="27"/>
      <c r="M130" s="27"/>
      <c r="N130" s="27"/>
      <c r="O130" s="25">
        <v>2.8445455E7</v>
      </c>
      <c r="P130" s="47"/>
      <c r="Q130" s="45"/>
      <c r="R130" s="22"/>
      <c r="X130" s="46"/>
      <c r="Y130" s="46"/>
    </row>
  </sheetData>
  <autoFilter ref="$B$1:$Y$130"/>
  <hyperlinks>
    <hyperlink r:id="rId1" ref="F74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2026-03-04T13:43:55Z</dcterms:created>
  <dc:creator>Deokjo kim</dc:creator>
</cp:coreProperties>
</file>